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Без этажа" sheetId="1" r:id="rId1"/>
    <sheet name="Системы" sheetId="2" r:id="rId2"/>
    <sheet name="Подборы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<sst xmlns="http://schemas.openxmlformats.org/spreadsheetml/2006/main" count="483" uniqueCount="120">
  <si>
    <t>Таблица воздухообменов — Без этажа</t>
  </si>
  <si>
    <t>№ п/п</t>
  </si>
  <si>
    <t>Наименование помещений</t>
  </si>
  <si>
    <t>Категория</t>
  </si>
  <si>
    <t>Температура</t>
  </si>
  <si>
    <t>Площадь</t>
  </si>
  <si>
    <t>Объём</t>
  </si>
  <si>
    <t>Приток кратность</t>
  </si>
  <si>
    <t>Вытяжка кратность</t>
  </si>
  <si>
    <t>Приток</t>
  </si>
  <si>
    <t>Вытяжка</t>
  </si>
  <si>
    <t>Приточная</t>
  </si>
  <si>
    <t>Вытяжная</t>
  </si>
  <si>
    <t>Примечание</t>
  </si>
  <si>
    <t>Высота, м</t>
  </si>
  <si>
    <t>К3</t>
  </si>
  <si>
    <t>Кладовая</t>
  </si>
  <si>
    <t>В3</t>
  </si>
  <si>
    <t>К2</t>
  </si>
  <si>
    <t>К1</t>
  </si>
  <si>
    <t>К5</t>
  </si>
  <si>
    <t>К6</t>
  </si>
  <si>
    <t>К4</t>
  </si>
  <si>
    <t>К7</t>
  </si>
  <si>
    <t>К8</t>
  </si>
  <si>
    <t>К9</t>
  </si>
  <si>
    <t>К10</t>
  </si>
  <si>
    <t>К11</t>
  </si>
  <si>
    <t>К12</t>
  </si>
  <si>
    <t>К15</t>
  </si>
  <si>
    <t>К14</t>
  </si>
  <si>
    <t>К13</t>
  </si>
  <si>
    <t>К16</t>
  </si>
  <si>
    <t>К17</t>
  </si>
  <si>
    <t>К18</t>
  </si>
  <si>
    <t>К20</t>
  </si>
  <si>
    <t>К19</t>
  </si>
  <si>
    <t>К21</t>
  </si>
  <si>
    <t>К22</t>
  </si>
  <si>
    <t>К23</t>
  </si>
  <si>
    <t>К24</t>
  </si>
  <si>
    <t>К27</t>
  </si>
  <si>
    <t>К26</t>
  </si>
  <si>
    <t>К25</t>
  </si>
  <si>
    <t>К30</t>
  </si>
  <si>
    <t>К29</t>
  </si>
  <si>
    <t>К28</t>
  </si>
  <si>
    <t>К31</t>
  </si>
  <si>
    <t>К33</t>
  </si>
  <si>
    <t>К35</t>
  </si>
  <si>
    <t>К32</t>
  </si>
  <si>
    <t>К36</t>
  </si>
  <si>
    <t>К38</t>
  </si>
  <si>
    <t>К39</t>
  </si>
  <si>
    <t>К34</t>
  </si>
  <si>
    <t>К37</t>
  </si>
  <si>
    <t>К40</t>
  </si>
  <si>
    <t>К41</t>
  </si>
  <si>
    <t>К42</t>
  </si>
  <si>
    <t>К43</t>
  </si>
  <si>
    <t>К44</t>
  </si>
  <si>
    <t>К49</t>
  </si>
  <si>
    <t>К48</t>
  </si>
  <si>
    <t>К45</t>
  </si>
  <si>
    <t>К47</t>
  </si>
  <si>
    <t>К46</t>
  </si>
  <si>
    <t>К50</t>
  </si>
  <si>
    <t>К56</t>
  </si>
  <si>
    <t>К55</t>
  </si>
  <si>
    <t>К54</t>
  </si>
  <si>
    <t>К53</t>
  </si>
  <si>
    <t>К52</t>
  </si>
  <si>
    <t>К51</t>
  </si>
  <si>
    <t>К57</t>
  </si>
  <si>
    <t>К58</t>
  </si>
  <si>
    <t>К59</t>
  </si>
  <si>
    <t>К61</t>
  </si>
  <si>
    <t>К60</t>
  </si>
  <si>
    <t>К65</t>
  </si>
  <si>
    <t>К64</t>
  </si>
  <si>
    <t>К63</t>
  </si>
  <si>
    <t>К62</t>
  </si>
  <si>
    <t>К69</t>
  </si>
  <si>
    <t>К67</t>
  </si>
  <si>
    <t>К66</t>
  </si>
  <si>
    <t>К68</t>
  </si>
  <si>
    <t>К73</t>
  </si>
  <si>
    <t>К74</t>
  </si>
  <si>
    <t>К71</t>
  </si>
  <si>
    <t>К70</t>
  </si>
  <si>
    <t>К77</t>
  </si>
  <si>
    <t>К76</t>
  </si>
  <si>
    <t>К75</t>
  </si>
  <si>
    <t>К72</t>
  </si>
  <si>
    <t>К80</t>
  </si>
  <si>
    <t>К79</t>
  </si>
  <si>
    <t>К78</t>
  </si>
  <si>
    <t>Система</t>
  </si>
  <si>
    <t>Зона обслуживания</t>
  </si>
  <si>
    <t>Расход м3\ч</t>
  </si>
  <si>
    <t>Расход с запасом м3\ч</t>
  </si>
  <si>
    <t>Нагрузка на калорифер кВт (расчет на расход с запасом)</t>
  </si>
  <si>
    <t>Размещение оборудования</t>
  </si>
  <si>
    <t>Выброс/забор</t>
  </si>
  <si>
    <t>Примечание к подборам</t>
  </si>
  <si>
    <t>С-ма в модели</t>
  </si>
  <si>
    <t>Потреи давления в с-ме, Па (аэродинамика)</t>
  </si>
  <si>
    <t>Потери в выбросе/заборе</t>
  </si>
  <si>
    <t>Потери общие</t>
  </si>
  <si>
    <t>Выдано на подбор производителю</t>
  </si>
  <si>
    <t>Установлено в модели + ХОВС</t>
  </si>
  <si>
    <t>-</t>
  </si>
  <si>
    <t>Тип вентилятора</t>
  </si>
  <si>
    <t>Климатическое исполнение</t>
  </si>
  <si>
    <t>Последовательность элементов</t>
  </si>
  <si>
    <t>Секция нагрева</t>
  </si>
  <si>
    <t>Кол-во секций нагрева</t>
  </si>
  <si>
    <t>Температура наружного воздуха ХПГ</t>
  </si>
  <si>
    <t>Температура приточного воздуха ХПГ</t>
  </si>
  <si>
    <t>Шумоглушитель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</si>
</sst>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32.7109375" customWidth="1"/>
    <col min="3" max="4" width="14.7109375" customWidth="1"/>
    <col min="5" max="6" width="12.7109375" customWidth="1"/>
    <col min="7" max="8" width="14.7109375" customWidth="1"/>
    <col min="9" max="12" width="12.7109375" customWidth="1"/>
    <col min="13" max="13" width="14.7109375" customWidth="1"/>
    <col min="14" max="14" width="0" hidden="1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14</v>
      </c>
    </row>
    <row r="2" spans="1:14">
      <c r="A2" s="3" t="s">
        <v>1</v>
      </c>
      <c r="B2" s="3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2" t="s">
        <v>11</v>
      </c>
      <c r="L2" s="2" t="s">
        <v>12</v>
      </c>
      <c r="M2" s="2" t="s">
        <v>13</v>
      </c>
      <c r="N2">
        <v>3</v>
      </c>
    </row>
    <row r="3" spans="1:14">
      <c r="A3" s="4" t="s">
        <v>15</v>
      </c>
      <c r="B3" s="5" t="s">
        <v>16</v>
      </c>
      <c r="C3" s="4" t="s">
        <v>17</v>
      </c>
      <c r="D3" s="4"/>
      <c r="E3" s="6">
        <v>3.14</v>
      </c>
      <c r="F3" s="6">
        <f>E3*$N$2</f>
        <v>0</v>
      </c>
      <c r="G3" s="4"/>
      <c r="H3" s="4"/>
      <c r="I3" s="6">
        <f>F3*G3</f>
        <v>0</v>
      </c>
      <c r="J3" s="6">
        <f>F3*H3</f>
        <v>0</v>
      </c>
      <c r="K3" s="4"/>
      <c r="L3" s="4"/>
      <c r="M3" s="4"/>
    </row>
    <row r="4" spans="1:14">
      <c r="A4" s="4" t="s">
        <v>18</v>
      </c>
      <c r="B4" s="5" t="s">
        <v>16</v>
      </c>
      <c r="C4" s="4" t="s">
        <v>17</v>
      </c>
      <c r="D4" s="4"/>
      <c r="E4" s="6">
        <v>7.24</v>
      </c>
      <c r="F4" s="6">
        <f>E4*$N$2</f>
        <v>0</v>
      </c>
      <c r="G4" s="4"/>
      <c r="H4" s="4"/>
      <c r="I4" s="6">
        <f>F4*G4</f>
        <v>0</v>
      </c>
      <c r="J4" s="6">
        <f>F4*H4</f>
        <v>0</v>
      </c>
      <c r="K4" s="4"/>
      <c r="L4" s="4"/>
      <c r="M4" s="4"/>
    </row>
    <row r="5" spans="1:14">
      <c r="A5" s="4" t="s">
        <v>19</v>
      </c>
      <c r="B5" s="5" t="s">
        <v>16</v>
      </c>
      <c r="C5" s="4" t="s">
        <v>17</v>
      </c>
      <c r="D5" s="4"/>
      <c r="E5" s="6">
        <v>4.59</v>
      </c>
      <c r="F5" s="6">
        <f>E5*$N$2</f>
        <v>0</v>
      </c>
      <c r="G5" s="4"/>
      <c r="H5" s="4"/>
      <c r="I5" s="6">
        <f>F5*G5</f>
        <v>0</v>
      </c>
      <c r="J5" s="6">
        <f>F5*H5</f>
        <v>0</v>
      </c>
      <c r="K5" s="4"/>
      <c r="L5" s="4"/>
      <c r="M5" s="4"/>
    </row>
    <row r="6" spans="1:14">
      <c r="A6" s="4" t="s">
        <v>20</v>
      </c>
      <c r="B6" s="5" t="s">
        <v>16</v>
      </c>
      <c r="C6" s="4" t="s">
        <v>17</v>
      </c>
      <c r="D6" s="4"/>
      <c r="E6" s="6">
        <v>4.43</v>
      </c>
      <c r="F6" s="6">
        <f>E6*$N$2</f>
        <v>0</v>
      </c>
      <c r="G6" s="4"/>
      <c r="H6" s="4"/>
      <c r="I6" s="6">
        <f>F6*G6</f>
        <v>0</v>
      </c>
      <c r="J6" s="6">
        <f>F6*H6</f>
        <v>0</v>
      </c>
      <c r="K6" s="4"/>
      <c r="L6" s="4"/>
      <c r="M6" s="4"/>
    </row>
    <row r="7" spans="1:14">
      <c r="A7" s="4" t="s">
        <v>21</v>
      </c>
      <c r="B7" s="5" t="s">
        <v>16</v>
      </c>
      <c r="C7" s="4" t="s">
        <v>17</v>
      </c>
      <c r="D7" s="4"/>
      <c r="E7" s="6">
        <v>6.3</v>
      </c>
      <c r="F7" s="6">
        <f>E7*$N$2</f>
        <v>0</v>
      </c>
      <c r="G7" s="4"/>
      <c r="H7" s="4"/>
      <c r="I7" s="6">
        <f>F7*G7</f>
        <v>0</v>
      </c>
      <c r="J7" s="6">
        <f>F7*H7</f>
        <v>0</v>
      </c>
      <c r="K7" s="4"/>
      <c r="L7" s="4"/>
      <c r="M7" s="4"/>
    </row>
    <row r="8" spans="1:14">
      <c r="A8" s="4" t="s">
        <v>22</v>
      </c>
      <c r="B8" s="5" t="s">
        <v>16</v>
      </c>
      <c r="C8" s="4" t="s">
        <v>17</v>
      </c>
      <c r="D8" s="4"/>
      <c r="E8" s="6">
        <v>4.18</v>
      </c>
      <c r="F8" s="6">
        <f>E8*$N$2</f>
        <v>0</v>
      </c>
      <c r="G8" s="4"/>
      <c r="H8" s="4"/>
      <c r="I8" s="6">
        <f>F8*G8</f>
        <v>0</v>
      </c>
      <c r="J8" s="6">
        <f>F8*H8</f>
        <v>0</v>
      </c>
      <c r="K8" s="4"/>
      <c r="L8" s="4"/>
      <c r="M8" s="4"/>
    </row>
    <row r="9" spans="1:14">
      <c r="A9" s="4" t="s">
        <v>23</v>
      </c>
      <c r="B9" s="5" t="s">
        <v>16</v>
      </c>
      <c r="C9" s="4" t="s">
        <v>17</v>
      </c>
      <c r="D9" s="4"/>
      <c r="E9" s="6">
        <v>3.56</v>
      </c>
      <c r="F9" s="6">
        <f>E9*$N$2</f>
        <v>0</v>
      </c>
      <c r="G9" s="4"/>
      <c r="H9" s="4"/>
      <c r="I9" s="6">
        <f>F9*G9</f>
        <v>0</v>
      </c>
      <c r="J9" s="6">
        <f>F9*H9</f>
        <v>0</v>
      </c>
      <c r="K9" s="4"/>
      <c r="L9" s="4"/>
      <c r="M9" s="4"/>
    </row>
    <row r="10" spans="1:14">
      <c r="A10" s="4" t="s">
        <v>24</v>
      </c>
      <c r="B10" s="5" t="s">
        <v>16</v>
      </c>
      <c r="C10" s="4" t="s">
        <v>17</v>
      </c>
      <c r="D10" s="4"/>
      <c r="E10" s="6">
        <v>3.41</v>
      </c>
      <c r="F10" s="6">
        <f>E10*$N$2</f>
        <v>0</v>
      </c>
      <c r="G10" s="4"/>
      <c r="H10" s="4"/>
      <c r="I10" s="6">
        <f>F10*G10</f>
        <v>0</v>
      </c>
      <c r="J10" s="6">
        <f>F10*H10</f>
        <v>0</v>
      </c>
      <c r="K10" s="4"/>
      <c r="L10" s="4"/>
      <c r="M10" s="4"/>
    </row>
    <row r="11" spans="1:14">
      <c r="A11" s="4" t="s">
        <v>25</v>
      </c>
      <c r="B11" s="5" t="s">
        <v>16</v>
      </c>
      <c r="C11" s="4" t="s">
        <v>17</v>
      </c>
      <c r="D11" s="4"/>
      <c r="E11" s="6">
        <v>4.42</v>
      </c>
      <c r="F11" s="6">
        <f>E11*$N$2</f>
        <v>0</v>
      </c>
      <c r="G11" s="4"/>
      <c r="H11" s="4"/>
      <c r="I11" s="6">
        <f>F11*G11</f>
        <v>0</v>
      </c>
      <c r="J11" s="6">
        <f>F11*H11</f>
        <v>0</v>
      </c>
      <c r="K11" s="4"/>
      <c r="L11" s="4"/>
      <c r="M11" s="4"/>
    </row>
    <row r="12" spans="1:14">
      <c r="A12" s="4" t="s">
        <v>26</v>
      </c>
      <c r="B12" s="5" t="s">
        <v>16</v>
      </c>
      <c r="C12" s="4" t="s">
        <v>17</v>
      </c>
      <c r="D12" s="4"/>
      <c r="E12" s="6">
        <v>5.58</v>
      </c>
      <c r="F12" s="6">
        <f>E12*$N$2</f>
        <v>0</v>
      </c>
      <c r="G12" s="4"/>
      <c r="H12" s="4"/>
      <c r="I12" s="6">
        <f>F12*G12</f>
        <v>0</v>
      </c>
      <c r="J12" s="6">
        <f>F12*H12</f>
        <v>0</v>
      </c>
      <c r="K12" s="4"/>
      <c r="L12" s="4"/>
      <c r="M12" s="4"/>
    </row>
    <row r="13" spans="1:14">
      <c r="A13" s="4" t="s">
        <v>27</v>
      </c>
      <c r="B13" s="5" t="s">
        <v>16</v>
      </c>
      <c r="C13" s="4" t="s">
        <v>17</v>
      </c>
      <c r="D13" s="4"/>
      <c r="E13" s="6">
        <v>7.5</v>
      </c>
      <c r="F13" s="6">
        <f>E13*$N$2</f>
        <v>0</v>
      </c>
      <c r="G13" s="4"/>
      <c r="H13" s="4"/>
      <c r="I13" s="6">
        <f>F13*G13</f>
        <v>0</v>
      </c>
      <c r="J13" s="6">
        <f>F13*H13</f>
        <v>0</v>
      </c>
      <c r="K13" s="4"/>
      <c r="L13" s="4"/>
      <c r="M13" s="4"/>
    </row>
    <row r="14" spans="1:14">
      <c r="A14" s="4" t="s">
        <v>28</v>
      </c>
      <c r="B14" s="5" t="s">
        <v>16</v>
      </c>
      <c r="C14" s="4" t="s">
        <v>17</v>
      </c>
      <c r="D14" s="4"/>
      <c r="E14" s="6">
        <v>5.92</v>
      </c>
      <c r="F14" s="6">
        <f>E14*$N$2</f>
        <v>0</v>
      </c>
      <c r="G14" s="4"/>
      <c r="H14" s="4"/>
      <c r="I14" s="6">
        <f>F14*G14</f>
        <v>0</v>
      </c>
      <c r="J14" s="6">
        <f>F14*H14</f>
        <v>0</v>
      </c>
      <c r="K14" s="4"/>
      <c r="L14" s="4"/>
      <c r="M14" s="4"/>
    </row>
    <row r="15" spans="1:14">
      <c r="A15" s="4" t="s">
        <v>29</v>
      </c>
      <c r="B15" s="5" t="s">
        <v>16</v>
      </c>
      <c r="C15" s="4" t="s">
        <v>17</v>
      </c>
      <c r="D15" s="4"/>
      <c r="E15" s="6">
        <v>4.15</v>
      </c>
      <c r="F15" s="6">
        <f>E15*$N$2</f>
        <v>0</v>
      </c>
      <c r="G15" s="4"/>
      <c r="H15" s="4"/>
      <c r="I15" s="6">
        <f>F15*G15</f>
        <v>0</v>
      </c>
      <c r="J15" s="6">
        <f>F15*H15</f>
        <v>0</v>
      </c>
      <c r="K15" s="4"/>
      <c r="L15" s="4"/>
      <c r="M15" s="4"/>
    </row>
    <row r="16" spans="1:14">
      <c r="A16" s="4" t="s">
        <v>30</v>
      </c>
      <c r="B16" s="5" t="s">
        <v>16</v>
      </c>
      <c r="C16" s="4" t="s">
        <v>17</v>
      </c>
      <c r="D16" s="4"/>
      <c r="E16" s="6">
        <v>3.62</v>
      </c>
      <c r="F16" s="6">
        <f>E16*$N$2</f>
        <v>0</v>
      </c>
      <c r="G16" s="4"/>
      <c r="H16" s="4"/>
      <c r="I16" s="6">
        <f>F16*G16</f>
        <v>0</v>
      </c>
      <c r="J16" s="6">
        <f>F16*H16</f>
        <v>0</v>
      </c>
      <c r="K16" s="4"/>
      <c r="L16" s="4"/>
      <c r="M16" s="4"/>
    </row>
    <row r="17" spans="1:13">
      <c r="A17" s="4" t="s">
        <v>31</v>
      </c>
      <c r="B17" s="5" t="s">
        <v>16</v>
      </c>
      <c r="C17" s="4" t="s">
        <v>17</v>
      </c>
      <c r="D17" s="4"/>
      <c r="E17" s="6">
        <v>4.09</v>
      </c>
      <c r="F17" s="6">
        <f>E17*$N$2</f>
        <v>0</v>
      </c>
      <c r="G17" s="4"/>
      <c r="H17" s="4"/>
      <c r="I17" s="6">
        <f>F17*G17</f>
        <v>0</v>
      </c>
      <c r="J17" s="6">
        <f>F17*H17</f>
        <v>0</v>
      </c>
      <c r="K17" s="4"/>
      <c r="L17" s="4"/>
      <c r="M17" s="4"/>
    </row>
    <row r="18" spans="1:13">
      <c r="A18" s="4" t="s">
        <v>32</v>
      </c>
      <c r="B18" s="5" t="s">
        <v>16</v>
      </c>
      <c r="C18" s="4" t="s">
        <v>17</v>
      </c>
      <c r="D18" s="4"/>
      <c r="E18" s="6">
        <v>2.91</v>
      </c>
      <c r="F18" s="6">
        <f>E18*$N$2</f>
        <v>0</v>
      </c>
      <c r="G18" s="4"/>
      <c r="H18" s="4"/>
      <c r="I18" s="6">
        <f>F18*G18</f>
        <v>0</v>
      </c>
      <c r="J18" s="6">
        <f>F18*H18</f>
        <v>0</v>
      </c>
      <c r="K18" s="4"/>
      <c r="L18" s="4"/>
      <c r="M18" s="4"/>
    </row>
    <row r="19" spans="1:13">
      <c r="A19" s="4" t="s">
        <v>33</v>
      </c>
      <c r="B19" s="5" t="s">
        <v>16</v>
      </c>
      <c r="C19" s="4" t="s">
        <v>17</v>
      </c>
      <c r="D19" s="4"/>
      <c r="E19" s="6">
        <v>2.92</v>
      </c>
      <c r="F19" s="6">
        <f>E19*$N$2</f>
        <v>0</v>
      </c>
      <c r="G19" s="4"/>
      <c r="H19" s="4"/>
      <c r="I19" s="6">
        <f>F19*G19</f>
        <v>0</v>
      </c>
      <c r="J19" s="6">
        <f>F19*H19</f>
        <v>0</v>
      </c>
      <c r="K19" s="4"/>
      <c r="L19" s="4"/>
      <c r="M19" s="4"/>
    </row>
    <row r="20" spans="1:13">
      <c r="A20" s="4" t="s">
        <v>34</v>
      </c>
      <c r="B20" s="5" t="s">
        <v>16</v>
      </c>
      <c r="C20" s="4" t="s">
        <v>17</v>
      </c>
      <c r="D20" s="4"/>
      <c r="E20" s="6">
        <v>2.91</v>
      </c>
      <c r="F20" s="6">
        <f>E20*$N$2</f>
        <v>0</v>
      </c>
      <c r="G20" s="4"/>
      <c r="H20" s="4"/>
      <c r="I20" s="6">
        <f>F20*G20</f>
        <v>0</v>
      </c>
      <c r="J20" s="6">
        <f>F20*H20</f>
        <v>0</v>
      </c>
      <c r="K20" s="4"/>
      <c r="L20" s="4"/>
      <c r="M20" s="4"/>
    </row>
    <row r="21" spans="1:13">
      <c r="A21" s="4" t="s">
        <v>35</v>
      </c>
      <c r="B21" s="5" t="s">
        <v>16</v>
      </c>
      <c r="C21" s="4" t="s">
        <v>17</v>
      </c>
      <c r="D21" s="4"/>
      <c r="E21" s="6">
        <v>3.01</v>
      </c>
      <c r="F21" s="6">
        <f>E21*$N$2</f>
        <v>0</v>
      </c>
      <c r="G21" s="4"/>
      <c r="H21" s="4"/>
      <c r="I21" s="6">
        <f>F21*G21</f>
        <v>0</v>
      </c>
      <c r="J21" s="6">
        <f>F21*H21</f>
        <v>0</v>
      </c>
      <c r="K21" s="4"/>
      <c r="L21" s="4"/>
      <c r="M21" s="4"/>
    </row>
    <row r="22" spans="1:13">
      <c r="A22" s="4" t="s">
        <v>36</v>
      </c>
      <c r="B22" s="5" t="s">
        <v>16</v>
      </c>
      <c r="C22" s="4" t="s">
        <v>17</v>
      </c>
      <c r="D22" s="4"/>
      <c r="E22" s="6">
        <v>3.75</v>
      </c>
      <c r="F22" s="6">
        <f>E22*$N$2</f>
        <v>0</v>
      </c>
      <c r="G22" s="4"/>
      <c r="H22" s="4"/>
      <c r="I22" s="6">
        <f>F22*G22</f>
        <v>0</v>
      </c>
      <c r="J22" s="6">
        <f>F22*H22</f>
        <v>0</v>
      </c>
      <c r="K22" s="4"/>
      <c r="L22" s="4"/>
      <c r="M22" s="4"/>
    </row>
    <row r="23" spans="1:13">
      <c r="A23" s="4" t="s">
        <v>37</v>
      </c>
      <c r="B23" s="5" t="s">
        <v>16</v>
      </c>
      <c r="C23" s="4" t="s">
        <v>17</v>
      </c>
      <c r="D23" s="4"/>
      <c r="E23" s="6">
        <v>3.01</v>
      </c>
      <c r="F23" s="6">
        <f>E23*$N$2</f>
        <v>0</v>
      </c>
      <c r="G23" s="4"/>
      <c r="H23" s="4"/>
      <c r="I23" s="6">
        <f>F23*G23</f>
        <v>0</v>
      </c>
      <c r="J23" s="6">
        <f>F23*H23</f>
        <v>0</v>
      </c>
      <c r="K23" s="4"/>
      <c r="L23" s="4"/>
      <c r="M23" s="4"/>
    </row>
    <row r="24" spans="1:13">
      <c r="A24" s="4" t="s">
        <v>38</v>
      </c>
      <c r="B24" s="5" t="s">
        <v>16</v>
      </c>
      <c r="C24" s="4" t="s">
        <v>17</v>
      </c>
      <c r="D24" s="4"/>
      <c r="E24" s="6">
        <v>3.06</v>
      </c>
      <c r="F24" s="6">
        <f>E24*$N$2</f>
        <v>0</v>
      </c>
      <c r="G24" s="4"/>
      <c r="H24" s="4"/>
      <c r="I24" s="6">
        <f>F24*G24</f>
        <v>0</v>
      </c>
      <c r="J24" s="6">
        <f>F24*H24</f>
        <v>0</v>
      </c>
      <c r="K24" s="4"/>
      <c r="L24" s="4"/>
      <c r="M24" s="4"/>
    </row>
    <row r="25" spans="1:13">
      <c r="A25" s="4" t="s">
        <v>39</v>
      </c>
      <c r="B25" s="5" t="s">
        <v>16</v>
      </c>
      <c r="C25" s="4" t="s">
        <v>17</v>
      </c>
      <c r="D25" s="4"/>
      <c r="E25" s="6">
        <v>2.83</v>
      </c>
      <c r="F25" s="6">
        <f>E25*$N$2</f>
        <v>0</v>
      </c>
      <c r="G25" s="4"/>
      <c r="H25" s="4"/>
      <c r="I25" s="6">
        <f>F25*G25</f>
        <v>0</v>
      </c>
      <c r="J25" s="6">
        <f>F25*H25</f>
        <v>0</v>
      </c>
      <c r="K25" s="4"/>
      <c r="L25" s="4"/>
      <c r="M25" s="4"/>
    </row>
    <row r="26" spans="1:13">
      <c r="A26" s="4" t="s">
        <v>40</v>
      </c>
      <c r="B26" s="5" t="s">
        <v>16</v>
      </c>
      <c r="C26" s="4" t="s">
        <v>17</v>
      </c>
      <c r="D26" s="4"/>
      <c r="E26" s="6">
        <v>3.56</v>
      </c>
      <c r="F26" s="6">
        <f>E26*$N$2</f>
        <v>0</v>
      </c>
      <c r="G26" s="4"/>
      <c r="H26" s="4"/>
      <c r="I26" s="6">
        <f>F26*G26</f>
        <v>0</v>
      </c>
      <c r="J26" s="6">
        <f>F26*H26</f>
        <v>0</v>
      </c>
      <c r="K26" s="4"/>
      <c r="L26" s="4"/>
      <c r="M26" s="4"/>
    </row>
    <row r="27" spans="1:13">
      <c r="A27" s="4" t="s">
        <v>41</v>
      </c>
      <c r="B27" s="5" t="s">
        <v>16</v>
      </c>
      <c r="C27" s="4" t="s">
        <v>17</v>
      </c>
      <c r="D27" s="4"/>
      <c r="E27" s="6">
        <v>4.38</v>
      </c>
      <c r="F27" s="6">
        <f>E27*$N$2</f>
        <v>0</v>
      </c>
      <c r="G27" s="4"/>
      <c r="H27" s="4"/>
      <c r="I27" s="6">
        <f>F27*G27</f>
        <v>0</v>
      </c>
      <c r="J27" s="6">
        <f>F27*H27</f>
        <v>0</v>
      </c>
      <c r="K27" s="4"/>
      <c r="L27" s="4"/>
      <c r="M27" s="4"/>
    </row>
    <row r="28" spans="1:13">
      <c r="A28" s="4" t="s">
        <v>42</v>
      </c>
      <c r="B28" s="5" t="s">
        <v>16</v>
      </c>
      <c r="C28" s="4" t="s">
        <v>17</v>
      </c>
      <c r="D28" s="4"/>
      <c r="E28" s="6">
        <v>4.83</v>
      </c>
      <c r="F28" s="6">
        <f>E28*$N$2</f>
        <v>0</v>
      </c>
      <c r="G28" s="4"/>
      <c r="H28" s="4"/>
      <c r="I28" s="6">
        <f>F28*G28</f>
        <v>0</v>
      </c>
      <c r="J28" s="6">
        <f>F28*H28</f>
        <v>0</v>
      </c>
      <c r="K28" s="4"/>
      <c r="L28" s="4"/>
      <c r="M28" s="4"/>
    </row>
    <row r="29" spans="1:13">
      <c r="A29" s="4" t="s">
        <v>43</v>
      </c>
      <c r="B29" s="5" t="s">
        <v>16</v>
      </c>
      <c r="C29" s="4" t="s">
        <v>17</v>
      </c>
      <c r="D29" s="4"/>
      <c r="E29" s="6">
        <v>4.87</v>
      </c>
      <c r="F29" s="6">
        <f>E29*$N$2</f>
        <v>0</v>
      </c>
      <c r="G29" s="4"/>
      <c r="H29" s="4"/>
      <c r="I29" s="6">
        <f>F29*G29</f>
        <v>0</v>
      </c>
      <c r="J29" s="6">
        <f>F29*H29</f>
        <v>0</v>
      </c>
      <c r="K29" s="4"/>
      <c r="L29" s="4"/>
      <c r="M29" s="4"/>
    </row>
    <row r="30" spans="1:13">
      <c r="A30" s="4" t="s">
        <v>44</v>
      </c>
      <c r="B30" s="5" t="s">
        <v>16</v>
      </c>
      <c r="C30" s="4" t="s">
        <v>17</v>
      </c>
      <c r="D30" s="4"/>
      <c r="E30" s="6">
        <v>3.47</v>
      </c>
      <c r="F30" s="6">
        <f>E30*$N$2</f>
        <v>0</v>
      </c>
      <c r="G30" s="4"/>
      <c r="H30" s="4"/>
      <c r="I30" s="6">
        <f>F30*G30</f>
        <v>0</v>
      </c>
      <c r="J30" s="6">
        <f>F30*H30</f>
        <v>0</v>
      </c>
      <c r="K30" s="4"/>
      <c r="L30" s="4"/>
      <c r="M30" s="4"/>
    </row>
    <row r="31" spans="1:13">
      <c r="A31" s="4" t="s">
        <v>45</v>
      </c>
      <c r="B31" s="5" t="s">
        <v>16</v>
      </c>
      <c r="C31" s="4" t="s">
        <v>17</v>
      </c>
      <c r="D31" s="4"/>
      <c r="E31" s="6">
        <v>3.79</v>
      </c>
      <c r="F31" s="6">
        <f>E31*$N$2</f>
        <v>0</v>
      </c>
      <c r="G31" s="4"/>
      <c r="H31" s="4"/>
      <c r="I31" s="6">
        <f>F31*G31</f>
        <v>0</v>
      </c>
      <c r="J31" s="6">
        <f>F31*H31</f>
        <v>0</v>
      </c>
      <c r="K31" s="4"/>
      <c r="L31" s="4"/>
      <c r="M31" s="4"/>
    </row>
    <row r="32" spans="1:13">
      <c r="A32" s="4" t="s">
        <v>46</v>
      </c>
      <c r="B32" s="5" t="s">
        <v>16</v>
      </c>
      <c r="C32" s="4" t="s">
        <v>17</v>
      </c>
      <c r="D32" s="4"/>
      <c r="E32" s="6">
        <v>3.56</v>
      </c>
      <c r="F32" s="6">
        <f>E32*$N$2</f>
        <v>0</v>
      </c>
      <c r="G32" s="4"/>
      <c r="H32" s="4"/>
      <c r="I32" s="6">
        <f>F32*G32</f>
        <v>0</v>
      </c>
      <c r="J32" s="6">
        <f>F32*H32</f>
        <v>0</v>
      </c>
      <c r="K32" s="4"/>
      <c r="L32" s="4"/>
      <c r="M32" s="4"/>
    </row>
    <row r="33" spans="1:13">
      <c r="A33" s="4" t="s">
        <v>47</v>
      </c>
      <c r="B33" s="5" t="s">
        <v>16</v>
      </c>
      <c r="C33" s="4" t="s">
        <v>17</v>
      </c>
      <c r="D33" s="4"/>
      <c r="E33" s="6">
        <v>3.4</v>
      </c>
      <c r="F33" s="6">
        <f>E33*$N$2</f>
        <v>0</v>
      </c>
      <c r="G33" s="4"/>
      <c r="H33" s="4"/>
      <c r="I33" s="6">
        <f>F33*G33</f>
        <v>0</v>
      </c>
      <c r="J33" s="6">
        <f>F33*H33</f>
        <v>0</v>
      </c>
      <c r="K33" s="4"/>
      <c r="L33" s="4"/>
      <c r="M33" s="4"/>
    </row>
    <row r="34" spans="1:13">
      <c r="A34" s="4" t="s">
        <v>48</v>
      </c>
      <c r="B34" s="5" t="s">
        <v>16</v>
      </c>
      <c r="C34" s="4" t="s">
        <v>17</v>
      </c>
      <c r="D34" s="4"/>
      <c r="E34" s="6">
        <v>2.79</v>
      </c>
      <c r="F34" s="6">
        <f>E34*$N$2</f>
        <v>0</v>
      </c>
      <c r="G34" s="4"/>
      <c r="H34" s="4"/>
      <c r="I34" s="6">
        <f>F34*G34</f>
        <v>0</v>
      </c>
      <c r="J34" s="6">
        <f>F34*H34</f>
        <v>0</v>
      </c>
      <c r="K34" s="4"/>
      <c r="L34" s="4"/>
      <c r="M34" s="4"/>
    </row>
    <row r="35" spans="1:13">
      <c r="A35" s="4" t="s">
        <v>49</v>
      </c>
      <c r="B35" s="5" t="s">
        <v>16</v>
      </c>
      <c r="C35" s="4" t="s">
        <v>17</v>
      </c>
      <c r="D35" s="4"/>
      <c r="E35" s="6">
        <v>3.56</v>
      </c>
      <c r="F35" s="6">
        <f>E35*$N$2</f>
        <v>0</v>
      </c>
      <c r="G35" s="4"/>
      <c r="H35" s="4"/>
      <c r="I35" s="6">
        <f>F35*G35</f>
        <v>0</v>
      </c>
      <c r="J35" s="6">
        <f>F35*H35</f>
        <v>0</v>
      </c>
      <c r="K35" s="4"/>
      <c r="L35" s="4"/>
      <c r="M35" s="4"/>
    </row>
    <row r="36" spans="1:13">
      <c r="A36" s="4" t="s">
        <v>50</v>
      </c>
      <c r="B36" s="5" t="s">
        <v>16</v>
      </c>
      <c r="C36" s="4" t="s">
        <v>17</v>
      </c>
      <c r="D36" s="4"/>
      <c r="E36" s="6">
        <v>4.28</v>
      </c>
      <c r="F36" s="6">
        <f>E36*$N$2</f>
        <v>0</v>
      </c>
      <c r="G36" s="4"/>
      <c r="H36" s="4"/>
      <c r="I36" s="6">
        <f>F36*G36</f>
        <v>0</v>
      </c>
      <c r="J36" s="6">
        <f>F36*H36</f>
        <v>0</v>
      </c>
      <c r="K36" s="4"/>
      <c r="L36" s="4"/>
      <c r="M36" s="4"/>
    </row>
    <row r="37" spans="1:13">
      <c r="A37" s="4" t="s">
        <v>51</v>
      </c>
      <c r="B37" s="5" t="s">
        <v>16</v>
      </c>
      <c r="C37" s="4" t="s">
        <v>17</v>
      </c>
      <c r="D37" s="4"/>
      <c r="E37" s="6">
        <v>3.56</v>
      </c>
      <c r="F37" s="6">
        <f>E37*$N$2</f>
        <v>0</v>
      </c>
      <c r="G37" s="4"/>
      <c r="H37" s="4"/>
      <c r="I37" s="6">
        <f>F37*G37</f>
        <v>0</v>
      </c>
      <c r="J37" s="6">
        <f>F37*H37</f>
        <v>0</v>
      </c>
      <c r="K37" s="4"/>
      <c r="L37" s="4"/>
      <c r="M37" s="4"/>
    </row>
    <row r="38" spans="1:13">
      <c r="A38" s="4" t="s">
        <v>52</v>
      </c>
      <c r="B38" s="5" t="s">
        <v>16</v>
      </c>
      <c r="C38" s="4" t="s">
        <v>17</v>
      </c>
      <c r="D38" s="4"/>
      <c r="E38" s="6">
        <v>3.42</v>
      </c>
      <c r="F38" s="6">
        <f>E38*$N$2</f>
        <v>0</v>
      </c>
      <c r="G38" s="4"/>
      <c r="H38" s="4"/>
      <c r="I38" s="6">
        <f>F38*G38</f>
        <v>0</v>
      </c>
      <c r="J38" s="6">
        <f>F38*H38</f>
        <v>0</v>
      </c>
      <c r="K38" s="4"/>
      <c r="L38" s="4"/>
      <c r="M38" s="4"/>
    </row>
    <row r="39" spans="1:13">
      <c r="A39" s="4" t="s">
        <v>53</v>
      </c>
      <c r="B39" s="5" t="s">
        <v>16</v>
      </c>
      <c r="C39" s="4" t="s">
        <v>17</v>
      </c>
      <c r="D39" s="4"/>
      <c r="E39" s="6">
        <v>7.7</v>
      </c>
      <c r="F39" s="6">
        <f>E39*$N$2</f>
        <v>0</v>
      </c>
      <c r="G39" s="4"/>
      <c r="H39" s="4"/>
      <c r="I39" s="6">
        <f>F39*G39</f>
        <v>0</v>
      </c>
      <c r="J39" s="6">
        <f>F39*H39</f>
        <v>0</v>
      </c>
      <c r="K39" s="4"/>
      <c r="L39" s="4"/>
      <c r="M39" s="4"/>
    </row>
    <row r="40" spans="1:13">
      <c r="A40" s="4" t="s">
        <v>54</v>
      </c>
      <c r="B40" s="5" t="s">
        <v>16</v>
      </c>
      <c r="C40" s="4" t="s">
        <v>17</v>
      </c>
      <c r="D40" s="4"/>
      <c r="E40" s="6">
        <v>2.79</v>
      </c>
      <c r="F40" s="6">
        <f>E40*$N$2</f>
        <v>0</v>
      </c>
      <c r="G40" s="4"/>
      <c r="H40" s="4"/>
      <c r="I40" s="6">
        <f>F40*G40</f>
        <v>0</v>
      </c>
      <c r="J40" s="6">
        <f>F40*H40</f>
        <v>0</v>
      </c>
      <c r="K40" s="4"/>
      <c r="L40" s="4"/>
      <c r="M40" s="4"/>
    </row>
    <row r="41" spans="1:13">
      <c r="A41" s="4" t="s">
        <v>55</v>
      </c>
      <c r="B41" s="5" t="s">
        <v>16</v>
      </c>
      <c r="C41" s="4" t="s">
        <v>17</v>
      </c>
      <c r="D41" s="4"/>
      <c r="E41" s="6">
        <v>3.11</v>
      </c>
      <c r="F41" s="6">
        <f>E41*$N$2</f>
        <v>0</v>
      </c>
      <c r="G41" s="4"/>
      <c r="H41" s="4"/>
      <c r="I41" s="6">
        <f>F41*G41</f>
        <v>0</v>
      </c>
      <c r="J41" s="6">
        <f>F41*H41</f>
        <v>0</v>
      </c>
      <c r="K41" s="4"/>
      <c r="L41" s="4"/>
      <c r="M41" s="4"/>
    </row>
    <row r="42" spans="1:13">
      <c r="A42" s="4" t="s">
        <v>56</v>
      </c>
      <c r="B42" s="5" t="s">
        <v>16</v>
      </c>
      <c r="C42" s="4" t="s">
        <v>17</v>
      </c>
      <c r="D42" s="4"/>
      <c r="E42" s="6">
        <v>3.04</v>
      </c>
      <c r="F42" s="6">
        <f>E42*$N$2</f>
        <v>0</v>
      </c>
      <c r="G42" s="4"/>
      <c r="H42" s="4"/>
      <c r="I42" s="6">
        <f>F42*G42</f>
        <v>0</v>
      </c>
      <c r="J42" s="6">
        <f>F42*H42</f>
        <v>0</v>
      </c>
      <c r="K42" s="4"/>
      <c r="L42" s="4"/>
      <c r="M42" s="4"/>
    </row>
    <row r="43" spans="1:13">
      <c r="A43" s="4" t="s">
        <v>57</v>
      </c>
      <c r="B43" s="5" t="s">
        <v>16</v>
      </c>
      <c r="C43" s="4" t="s">
        <v>17</v>
      </c>
      <c r="D43" s="4"/>
      <c r="E43" s="6">
        <v>2.62</v>
      </c>
      <c r="F43" s="6">
        <f>E43*$N$2</f>
        <v>0</v>
      </c>
      <c r="G43" s="4"/>
      <c r="H43" s="4"/>
      <c r="I43" s="6">
        <f>F43*G43</f>
        <v>0</v>
      </c>
      <c r="J43" s="6">
        <f>F43*H43</f>
        <v>0</v>
      </c>
      <c r="K43" s="4"/>
      <c r="L43" s="4"/>
      <c r="M43" s="4"/>
    </row>
    <row r="44" spans="1:13">
      <c r="A44" s="4" t="s">
        <v>58</v>
      </c>
      <c r="B44" s="5" t="s">
        <v>16</v>
      </c>
      <c r="C44" s="4" t="s">
        <v>17</v>
      </c>
      <c r="D44" s="4"/>
      <c r="E44" s="6">
        <v>2.96</v>
      </c>
      <c r="F44" s="6">
        <f>E44*$N$2</f>
        <v>0</v>
      </c>
      <c r="G44" s="4"/>
      <c r="H44" s="4"/>
      <c r="I44" s="6">
        <f>F44*G44</f>
        <v>0</v>
      </c>
      <c r="J44" s="6">
        <f>F44*H44</f>
        <v>0</v>
      </c>
      <c r="K44" s="4"/>
      <c r="L44" s="4"/>
      <c r="M44" s="4"/>
    </row>
    <row r="45" spans="1:13">
      <c r="A45" s="4" t="s">
        <v>59</v>
      </c>
      <c r="B45" s="5" t="s">
        <v>16</v>
      </c>
      <c r="C45" s="4" t="s">
        <v>17</v>
      </c>
      <c r="D45" s="4"/>
      <c r="E45" s="6">
        <v>3.16</v>
      </c>
      <c r="F45" s="6">
        <f>E45*$N$2</f>
        <v>0</v>
      </c>
      <c r="G45" s="4"/>
      <c r="H45" s="4"/>
      <c r="I45" s="6">
        <f>F45*G45</f>
        <v>0</v>
      </c>
      <c r="J45" s="6">
        <f>F45*H45</f>
        <v>0</v>
      </c>
      <c r="K45" s="4"/>
      <c r="L45" s="4"/>
      <c r="M45" s="4"/>
    </row>
    <row r="46" spans="1:13">
      <c r="A46" s="4" t="s">
        <v>60</v>
      </c>
      <c r="B46" s="5" t="s">
        <v>16</v>
      </c>
      <c r="C46" s="4" t="s">
        <v>17</v>
      </c>
      <c r="D46" s="4"/>
      <c r="E46" s="6">
        <v>3.16</v>
      </c>
      <c r="F46" s="6">
        <f>E46*$N$2</f>
        <v>0</v>
      </c>
      <c r="G46" s="4"/>
      <c r="H46" s="4"/>
      <c r="I46" s="6">
        <f>F46*G46</f>
        <v>0</v>
      </c>
      <c r="J46" s="6">
        <f>F46*H46</f>
        <v>0</v>
      </c>
      <c r="K46" s="4"/>
      <c r="L46" s="4"/>
      <c r="M46" s="4"/>
    </row>
    <row r="47" spans="1:13">
      <c r="A47" s="4" t="s">
        <v>61</v>
      </c>
      <c r="B47" s="5" t="s">
        <v>16</v>
      </c>
      <c r="C47" s="4" t="s">
        <v>17</v>
      </c>
      <c r="D47" s="4"/>
      <c r="E47" s="6">
        <v>3.68</v>
      </c>
      <c r="F47" s="6">
        <f>E47*$N$2</f>
        <v>0</v>
      </c>
      <c r="G47" s="4"/>
      <c r="H47" s="4"/>
      <c r="I47" s="6">
        <f>F47*G47</f>
        <v>0</v>
      </c>
      <c r="J47" s="6">
        <f>F47*H47</f>
        <v>0</v>
      </c>
      <c r="K47" s="4"/>
      <c r="L47" s="4"/>
      <c r="M47" s="4"/>
    </row>
    <row r="48" spans="1:13">
      <c r="A48" s="4" t="s">
        <v>62</v>
      </c>
      <c r="B48" s="5" t="s">
        <v>16</v>
      </c>
      <c r="C48" s="4" t="s">
        <v>17</v>
      </c>
      <c r="D48" s="4"/>
      <c r="E48" s="6">
        <v>3.44</v>
      </c>
      <c r="F48" s="6">
        <f>E48*$N$2</f>
        <v>0</v>
      </c>
      <c r="G48" s="4"/>
      <c r="H48" s="4"/>
      <c r="I48" s="6">
        <f>F48*G48</f>
        <v>0</v>
      </c>
      <c r="J48" s="6">
        <f>F48*H48</f>
        <v>0</v>
      </c>
      <c r="K48" s="4"/>
      <c r="L48" s="4"/>
      <c r="M48" s="4"/>
    </row>
    <row r="49" spans="1:13">
      <c r="A49" s="4" t="s">
        <v>63</v>
      </c>
      <c r="B49" s="5" t="s">
        <v>16</v>
      </c>
      <c r="C49" s="4" t="s">
        <v>17</v>
      </c>
      <c r="D49" s="4"/>
      <c r="E49" s="6">
        <v>4.29</v>
      </c>
      <c r="F49" s="6">
        <f>E49*$N$2</f>
        <v>0</v>
      </c>
      <c r="G49" s="4"/>
      <c r="H49" s="4"/>
      <c r="I49" s="6">
        <f>F49*G49</f>
        <v>0</v>
      </c>
      <c r="J49" s="6">
        <f>F49*H49</f>
        <v>0</v>
      </c>
      <c r="K49" s="4"/>
      <c r="L49" s="4"/>
      <c r="M49" s="4"/>
    </row>
    <row r="50" spans="1:13">
      <c r="A50" s="4" t="s">
        <v>64</v>
      </c>
      <c r="B50" s="5" t="s">
        <v>16</v>
      </c>
      <c r="C50" s="4" t="s">
        <v>17</v>
      </c>
      <c r="D50" s="4"/>
      <c r="E50" s="6">
        <v>2.73</v>
      </c>
      <c r="F50" s="6">
        <f>E50*$N$2</f>
        <v>0</v>
      </c>
      <c r="G50" s="4"/>
      <c r="H50" s="4"/>
      <c r="I50" s="6">
        <f>F50*G50</f>
        <v>0</v>
      </c>
      <c r="J50" s="6">
        <f>F50*H50</f>
        <v>0</v>
      </c>
      <c r="K50" s="4"/>
      <c r="L50" s="4"/>
      <c r="M50" s="4"/>
    </row>
    <row r="51" spans="1:13">
      <c r="A51" s="4" t="s">
        <v>65</v>
      </c>
      <c r="B51" s="5" t="s">
        <v>16</v>
      </c>
      <c r="C51" s="4" t="s">
        <v>17</v>
      </c>
      <c r="D51" s="4"/>
      <c r="E51" s="6">
        <v>2.62</v>
      </c>
      <c r="F51" s="6">
        <f>E51*$N$2</f>
        <v>0</v>
      </c>
      <c r="G51" s="4"/>
      <c r="H51" s="4"/>
      <c r="I51" s="6">
        <f>F51*G51</f>
        <v>0</v>
      </c>
      <c r="J51" s="6">
        <f>F51*H51</f>
        <v>0</v>
      </c>
      <c r="K51" s="4"/>
      <c r="L51" s="4"/>
      <c r="M51" s="4"/>
    </row>
    <row r="52" spans="1:13">
      <c r="A52" s="4" t="s">
        <v>66</v>
      </c>
      <c r="B52" s="5" t="s">
        <v>16</v>
      </c>
      <c r="C52" s="4" t="s">
        <v>17</v>
      </c>
      <c r="D52" s="4"/>
      <c r="E52" s="6">
        <v>3.1</v>
      </c>
      <c r="F52" s="6">
        <f>E52*$N$2</f>
        <v>0</v>
      </c>
      <c r="G52" s="4"/>
      <c r="H52" s="4"/>
      <c r="I52" s="6">
        <f>F52*G52</f>
        <v>0</v>
      </c>
      <c r="J52" s="6">
        <f>F52*H52</f>
        <v>0</v>
      </c>
      <c r="K52" s="4"/>
      <c r="L52" s="4"/>
      <c r="M52" s="4"/>
    </row>
    <row r="53" spans="1:13">
      <c r="A53" s="4" t="s">
        <v>67</v>
      </c>
      <c r="B53" s="5" t="s">
        <v>16</v>
      </c>
      <c r="C53" s="4" t="s">
        <v>17</v>
      </c>
      <c r="D53" s="4"/>
      <c r="E53" s="6">
        <v>2.67</v>
      </c>
      <c r="F53" s="6">
        <f>E53*$N$2</f>
        <v>0</v>
      </c>
      <c r="G53" s="4"/>
      <c r="H53" s="4"/>
      <c r="I53" s="6">
        <f>F53*G53</f>
        <v>0</v>
      </c>
      <c r="J53" s="6">
        <f>F53*H53</f>
        <v>0</v>
      </c>
      <c r="K53" s="4"/>
      <c r="L53" s="4"/>
      <c r="M53" s="4"/>
    </row>
    <row r="54" spans="1:13">
      <c r="A54" s="4" t="s">
        <v>68</v>
      </c>
      <c r="B54" s="5" t="s">
        <v>16</v>
      </c>
      <c r="C54" s="4" t="s">
        <v>17</v>
      </c>
      <c r="D54" s="4"/>
      <c r="E54" s="6">
        <v>3.03</v>
      </c>
      <c r="F54" s="6">
        <f>E54*$N$2</f>
        <v>0</v>
      </c>
      <c r="G54" s="4"/>
      <c r="H54" s="4"/>
      <c r="I54" s="6">
        <f>F54*G54</f>
        <v>0</v>
      </c>
      <c r="J54" s="6">
        <f>F54*H54</f>
        <v>0</v>
      </c>
      <c r="K54" s="4"/>
      <c r="L54" s="4"/>
      <c r="M54" s="4"/>
    </row>
    <row r="55" spans="1:13">
      <c r="A55" s="4" t="s">
        <v>69</v>
      </c>
      <c r="B55" s="5" t="s">
        <v>16</v>
      </c>
      <c r="C55" s="4" t="s">
        <v>17</v>
      </c>
      <c r="D55" s="4"/>
      <c r="E55" s="6">
        <v>2.72</v>
      </c>
      <c r="F55" s="6">
        <f>E55*$N$2</f>
        <v>0</v>
      </c>
      <c r="G55" s="4"/>
      <c r="H55" s="4"/>
      <c r="I55" s="6">
        <f>F55*G55</f>
        <v>0</v>
      </c>
      <c r="J55" s="6">
        <f>F55*H55</f>
        <v>0</v>
      </c>
      <c r="K55" s="4"/>
      <c r="L55" s="4"/>
      <c r="M55" s="4"/>
    </row>
    <row r="56" spans="1:13">
      <c r="A56" s="4" t="s">
        <v>70</v>
      </c>
      <c r="B56" s="5" t="s">
        <v>16</v>
      </c>
      <c r="C56" s="4" t="s">
        <v>17</v>
      </c>
      <c r="D56" s="4"/>
      <c r="E56" s="6">
        <v>3.16</v>
      </c>
      <c r="F56" s="6">
        <f>E56*$N$2</f>
        <v>0</v>
      </c>
      <c r="G56" s="4"/>
      <c r="H56" s="4"/>
      <c r="I56" s="6">
        <f>F56*G56</f>
        <v>0</v>
      </c>
      <c r="J56" s="6">
        <f>F56*H56</f>
        <v>0</v>
      </c>
      <c r="K56" s="4"/>
      <c r="L56" s="4"/>
      <c r="M56" s="4"/>
    </row>
    <row r="57" spans="1:13">
      <c r="A57" s="4" t="s">
        <v>71</v>
      </c>
      <c r="B57" s="5" t="s">
        <v>16</v>
      </c>
      <c r="C57" s="4" t="s">
        <v>17</v>
      </c>
      <c r="D57" s="4"/>
      <c r="E57" s="6">
        <v>3.09</v>
      </c>
      <c r="F57" s="6">
        <f>E57*$N$2</f>
        <v>0</v>
      </c>
      <c r="G57" s="4"/>
      <c r="H57" s="4"/>
      <c r="I57" s="6">
        <f>F57*G57</f>
        <v>0</v>
      </c>
      <c r="J57" s="6">
        <f>F57*H57</f>
        <v>0</v>
      </c>
      <c r="K57" s="4"/>
      <c r="L57" s="4"/>
      <c r="M57" s="4"/>
    </row>
    <row r="58" spans="1:13">
      <c r="A58" s="4" t="s">
        <v>72</v>
      </c>
      <c r="B58" s="5" t="s">
        <v>16</v>
      </c>
      <c r="C58" s="4" t="s">
        <v>17</v>
      </c>
      <c r="D58" s="4"/>
      <c r="E58" s="6">
        <v>2.68</v>
      </c>
      <c r="F58" s="6">
        <f>E58*$N$2</f>
        <v>0</v>
      </c>
      <c r="G58" s="4"/>
      <c r="H58" s="4"/>
      <c r="I58" s="6">
        <f>F58*G58</f>
        <v>0</v>
      </c>
      <c r="J58" s="6">
        <f>F58*H58</f>
        <v>0</v>
      </c>
      <c r="K58" s="4"/>
      <c r="L58" s="4"/>
      <c r="M58" s="4"/>
    </row>
    <row r="59" spans="1:13">
      <c r="A59" s="4" t="s">
        <v>73</v>
      </c>
      <c r="B59" s="5" t="s">
        <v>16</v>
      </c>
      <c r="C59" s="4" t="s">
        <v>17</v>
      </c>
      <c r="D59" s="4"/>
      <c r="E59" s="6">
        <v>3.25</v>
      </c>
      <c r="F59" s="6">
        <f>E59*$N$2</f>
        <v>0</v>
      </c>
      <c r="G59" s="4"/>
      <c r="H59" s="4"/>
      <c r="I59" s="6">
        <f>F59*G59</f>
        <v>0</v>
      </c>
      <c r="J59" s="6">
        <f>F59*H59</f>
        <v>0</v>
      </c>
      <c r="K59" s="4"/>
      <c r="L59" s="4"/>
      <c r="M59" s="4"/>
    </row>
    <row r="60" spans="1:13">
      <c r="A60" s="4" t="s">
        <v>74</v>
      </c>
      <c r="B60" s="5" t="s">
        <v>16</v>
      </c>
      <c r="C60" s="4" t="s">
        <v>17</v>
      </c>
      <c r="D60" s="4"/>
      <c r="E60" s="6">
        <v>3.01</v>
      </c>
      <c r="F60" s="6">
        <f>E60*$N$2</f>
        <v>0</v>
      </c>
      <c r="G60" s="4"/>
      <c r="H60" s="4"/>
      <c r="I60" s="6">
        <f>F60*G60</f>
        <v>0</v>
      </c>
      <c r="J60" s="6">
        <f>F60*H60</f>
        <v>0</v>
      </c>
      <c r="K60" s="4"/>
      <c r="L60" s="4"/>
      <c r="M60" s="4"/>
    </row>
    <row r="61" spans="1:13">
      <c r="A61" s="4" t="s">
        <v>75</v>
      </c>
      <c r="B61" s="5" t="s">
        <v>16</v>
      </c>
      <c r="C61" s="4" t="s">
        <v>17</v>
      </c>
      <c r="D61" s="4"/>
      <c r="E61" s="6">
        <v>2.92</v>
      </c>
      <c r="F61" s="6">
        <f>E61*$N$2</f>
        <v>0</v>
      </c>
      <c r="G61" s="4"/>
      <c r="H61" s="4"/>
      <c r="I61" s="6">
        <f>F61*G61</f>
        <v>0</v>
      </c>
      <c r="J61" s="6">
        <f>F61*H61</f>
        <v>0</v>
      </c>
      <c r="K61" s="4"/>
      <c r="L61" s="4"/>
      <c r="M61" s="4"/>
    </row>
    <row r="62" spans="1:13">
      <c r="A62" s="4" t="s">
        <v>76</v>
      </c>
      <c r="B62" s="5" t="s">
        <v>16</v>
      </c>
      <c r="C62" s="4" t="s">
        <v>17</v>
      </c>
      <c r="D62" s="4"/>
      <c r="E62" s="6">
        <v>3.14</v>
      </c>
      <c r="F62" s="6">
        <f>E62*$N$2</f>
        <v>0</v>
      </c>
      <c r="G62" s="4"/>
      <c r="H62" s="4"/>
      <c r="I62" s="6">
        <f>F62*G62</f>
        <v>0</v>
      </c>
      <c r="J62" s="6">
        <f>F62*H62</f>
        <v>0</v>
      </c>
      <c r="K62" s="4"/>
      <c r="L62" s="4"/>
      <c r="M62" s="4"/>
    </row>
    <row r="63" spans="1:13">
      <c r="A63" s="4" t="s">
        <v>77</v>
      </c>
      <c r="B63" s="5" t="s">
        <v>16</v>
      </c>
      <c r="C63" s="4" t="s">
        <v>17</v>
      </c>
      <c r="D63" s="4"/>
      <c r="E63" s="6">
        <v>4</v>
      </c>
      <c r="F63" s="6">
        <f>E63*$N$2</f>
        <v>0</v>
      </c>
      <c r="G63" s="4"/>
      <c r="H63" s="4"/>
      <c r="I63" s="6">
        <f>F63*G63</f>
        <v>0</v>
      </c>
      <c r="J63" s="6">
        <f>F63*H63</f>
        <v>0</v>
      </c>
      <c r="K63" s="4"/>
      <c r="L63" s="4"/>
      <c r="M63" s="4"/>
    </row>
    <row r="64" spans="1:13">
      <c r="A64" s="4" t="s">
        <v>78</v>
      </c>
      <c r="B64" s="5" t="s">
        <v>16</v>
      </c>
      <c r="C64" s="4" t="s">
        <v>17</v>
      </c>
      <c r="D64" s="4"/>
      <c r="E64" s="6">
        <v>4.25</v>
      </c>
      <c r="F64" s="6">
        <f>E64*$N$2</f>
        <v>0</v>
      </c>
      <c r="G64" s="4"/>
      <c r="H64" s="4"/>
      <c r="I64" s="6">
        <f>F64*G64</f>
        <v>0</v>
      </c>
      <c r="J64" s="6">
        <f>F64*H64</f>
        <v>0</v>
      </c>
      <c r="K64" s="4"/>
      <c r="L64" s="4"/>
      <c r="M64" s="4"/>
    </row>
    <row r="65" spans="1:13">
      <c r="A65" s="4" t="s">
        <v>79</v>
      </c>
      <c r="B65" s="5" t="s">
        <v>16</v>
      </c>
      <c r="C65" s="4" t="s">
        <v>17</v>
      </c>
      <c r="D65" s="4"/>
      <c r="E65" s="6">
        <v>5.16</v>
      </c>
      <c r="F65" s="6">
        <f>E65*$N$2</f>
        <v>0</v>
      </c>
      <c r="G65" s="4"/>
      <c r="H65" s="4"/>
      <c r="I65" s="6">
        <f>F65*G65</f>
        <v>0</v>
      </c>
      <c r="J65" s="6">
        <f>F65*H65</f>
        <v>0</v>
      </c>
      <c r="K65" s="4"/>
      <c r="L65" s="4"/>
      <c r="M65" s="4"/>
    </row>
    <row r="66" spans="1:13">
      <c r="A66" s="4" t="s">
        <v>80</v>
      </c>
      <c r="B66" s="5" t="s">
        <v>16</v>
      </c>
      <c r="C66" s="4" t="s">
        <v>17</v>
      </c>
      <c r="D66" s="4"/>
      <c r="E66" s="6">
        <v>4.3</v>
      </c>
      <c r="F66" s="6">
        <f>E66*$N$2</f>
        <v>0</v>
      </c>
      <c r="G66" s="4"/>
      <c r="H66" s="4"/>
      <c r="I66" s="6">
        <f>F66*G66</f>
        <v>0</v>
      </c>
      <c r="J66" s="6">
        <f>F66*H66</f>
        <v>0</v>
      </c>
      <c r="K66" s="4"/>
      <c r="L66" s="4"/>
      <c r="M66" s="4"/>
    </row>
    <row r="67" spans="1:13">
      <c r="A67" s="4" t="s">
        <v>81</v>
      </c>
      <c r="B67" s="5" t="s">
        <v>16</v>
      </c>
      <c r="C67" s="4" t="s">
        <v>17</v>
      </c>
      <c r="D67" s="4"/>
      <c r="E67" s="6">
        <v>4.05</v>
      </c>
      <c r="F67" s="6">
        <f>E67*$N$2</f>
        <v>0</v>
      </c>
      <c r="G67" s="4"/>
      <c r="H67" s="4"/>
      <c r="I67" s="6">
        <f>F67*G67</f>
        <v>0</v>
      </c>
      <c r="J67" s="6">
        <f>F67*H67</f>
        <v>0</v>
      </c>
      <c r="K67" s="4"/>
      <c r="L67" s="4"/>
      <c r="M67" s="4"/>
    </row>
    <row r="68" spans="1:13">
      <c r="A68" s="4" t="s">
        <v>82</v>
      </c>
      <c r="B68" s="5" t="s">
        <v>16</v>
      </c>
      <c r="C68" s="4" t="s">
        <v>17</v>
      </c>
      <c r="D68" s="4"/>
      <c r="E68" s="6">
        <v>4.66</v>
      </c>
      <c r="F68" s="6">
        <f>E68*$N$2</f>
        <v>0</v>
      </c>
      <c r="G68" s="4"/>
      <c r="H68" s="4"/>
      <c r="I68" s="6">
        <f>F68*G68</f>
        <v>0</v>
      </c>
      <c r="J68" s="6">
        <f>F68*H68</f>
        <v>0</v>
      </c>
      <c r="K68" s="4"/>
      <c r="L68" s="4"/>
      <c r="M68" s="4"/>
    </row>
    <row r="69" spans="1:13">
      <c r="A69" s="4" t="s">
        <v>83</v>
      </c>
      <c r="B69" s="5" t="s">
        <v>16</v>
      </c>
      <c r="C69" s="4" t="s">
        <v>17</v>
      </c>
      <c r="D69" s="4"/>
      <c r="E69" s="6">
        <v>2.64</v>
      </c>
      <c r="F69" s="6">
        <f>E69*$N$2</f>
        <v>0</v>
      </c>
      <c r="G69" s="4"/>
      <c r="H69" s="4"/>
      <c r="I69" s="6">
        <f>F69*G69</f>
        <v>0</v>
      </c>
      <c r="J69" s="6">
        <f>F69*H69</f>
        <v>0</v>
      </c>
      <c r="K69" s="4"/>
      <c r="L69" s="4"/>
      <c r="M69" s="4"/>
    </row>
    <row r="70" spans="1:13">
      <c r="A70" s="4" t="s">
        <v>84</v>
      </c>
      <c r="B70" s="5" t="s">
        <v>16</v>
      </c>
      <c r="C70" s="4" t="s">
        <v>17</v>
      </c>
      <c r="D70" s="4"/>
      <c r="E70" s="6">
        <v>2.53</v>
      </c>
      <c r="F70" s="6">
        <f>E70*$N$2</f>
        <v>0</v>
      </c>
      <c r="G70" s="4"/>
      <c r="H70" s="4"/>
      <c r="I70" s="6">
        <f>F70*G70</f>
        <v>0</v>
      </c>
      <c r="J70" s="6">
        <f>F70*H70</f>
        <v>0</v>
      </c>
      <c r="K70" s="4"/>
      <c r="L70" s="4"/>
      <c r="M70" s="4"/>
    </row>
    <row r="71" spans="1:13">
      <c r="A71" s="4" t="s">
        <v>85</v>
      </c>
      <c r="B71" s="5" t="s">
        <v>16</v>
      </c>
      <c r="C71" s="4" t="s">
        <v>17</v>
      </c>
      <c r="D71" s="4"/>
      <c r="E71" s="6">
        <v>2.6</v>
      </c>
      <c r="F71" s="6">
        <f>E71*$N$2</f>
        <v>0</v>
      </c>
      <c r="G71" s="4"/>
      <c r="H71" s="4"/>
      <c r="I71" s="6">
        <f>F71*G71</f>
        <v>0</v>
      </c>
      <c r="J71" s="6">
        <f>F71*H71</f>
        <v>0</v>
      </c>
      <c r="K71" s="4"/>
      <c r="L71" s="4"/>
      <c r="M71" s="4"/>
    </row>
    <row r="72" spans="1:13">
      <c r="A72" s="4" t="s">
        <v>86</v>
      </c>
      <c r="B72" s="5" t="s">
        <v>16</v>
      </c>
      <c r="C72" s="4" t="s">
        <v>17</v>
      </c>
      <c r="D72" s="4"/>
      <c r="E72" s="6">
        <v>4.79</v>
      </c>
      <c r="F72" s="6">
        <f>E72*$N$2</f>
        <v>0</v>
      </c>
      <c r="G72" s="4"/>
      <c r="H72" s="4"/>
      <c r="I72" s="6">
        <f>F72*G72</f>
        <v>0</v>
      </c>
      <c r="J72" s="6">
        <f>F72*H72</f>
        <v>0</v>
      </c>
      <c r="K72" s="4"/>
      <c r="L72" s="4"/>
      <c r="M72" s="4"/>
    </row>
    <row r="73" spans="1:13">
      <c r="A73" s="4" t="s">
        <v>87</v>
      </c>
      <c r="B73" s="5" t="s">
        <v>16</v>
      </c>
      <c r="C73" s="4" t="s">
        <v>17</v>
      </c>
      <c r="D73" s="4"/>
      <c r="E73" s="6">
        <v>4.79</v>
      </c>
      <c r="F73" s="6">
        <f>E73*$N$2</f>
        <v>0</v>
      </c>
      <c r="G73" s="4"/>
      <c r="H73" s="4"/>
      <c r="I73" s="6">
        <f>F73*G73</f>
        <v>0</v>
      </c>
      <c r="J73" s="6">
        <f>F73*H73</f>
        <v>0</v>
      </c>
      <c r="K73" s="4"/>
      <c r="L73" s="4"/>
      <c r="M73" s="4"/>
    </row>
    <row r="74" spans="1:13">
      <c r="A74" s="4" t="s">
        <v>88</v>
      </c>
      <c r="B74" s="5" t="s">
        <v>16</v>
      </c>
      <c r="C74" s="4" t="s">
        <v>17</v>
      </c>
      <c r="D74" s="4"/>
      <c r="E74" s="6">
        <v>2.88</v>
      </c>
      <c r="F74" s="6">
        <f>E74*$N$2</f>
        <v>0</v>
      </c>
      <c r="G74" s="4"/>
      <c r="H74" s="4"/>
      <c r="I74" s="6">
        <f>F74*G74</f>
        <v>0</v>
      </c>
      <c r="J74" s="6">
        <f>F74*H74</f>
        <v>0</v>
      </c>
      <c r="K74" s="4"/>
      <c r="L74" s="4"/>
      <c r="M74" s="4"/>
    </row>
    <row r="75" spans="1:13">
      <c r="A75" s="4" t="s">
        <v>89</v>
      </c>
      <c r="B75" s="5" t="s">
        <v>16</v>
      </c>
      <c r="C75" s="4" t="s">
        <v>17</v>
      </c>
      <c r="D75" s="4"/>
      <c r="E75" s="6">
        <v>4.88</v>
      </c>
      <c r="F75" s="6">
        <f>E75*$N$2</f>
        <v>0</v>
      </c>
      <c r="G75" s="4"/>
      <c r="H75" s="4"/>
      <c r="I75" s="6">
        <f>F75*G75</f>
        <v>0</v>
      </c>
      <c r="J75" s="6">
        <f>F75*H75</f>
        <v>0</v>
      </c>
      <c r="K75" s="4"/>
      <c r="L75" s="4"/>
      <c r="M75" s="4"/>
    </row>
    <row r="76" spans="1:13">
      <c r="A76" s="4" t="s">
        <v>90</v>
      </c>
      <c r="B76" s="5" t="s">
        <v>16</v>
      </c>
      <c r="C76" s="4" t="s">
        <v>17</v>
      </c>
      <c r="D76" s="4"/>
      <c r="E76" s="6">
        <v>2.82</v>
      </c>
      <c r="F76" s="6">
        <f>E76*$N$2</f>
        <v>0</v>
      </c>
      <c r="G76" s="4"/>
      <c r="H76" s="4"/>
      <c r="I76" s="6">
        <f>F76*G76</f>
        <v>0</v>
      </c>
      <c r="J76" s="6">
        <f>F76*H76</f>
        <v>0</v>
      </c>
      <c r="K76" s="4"/>
      <c r="L76" s="4"/>
      <c r="M76" s="4"/>
    </row>
    <row r="77" spans="1:13">
      <c r="A77" s="4" t="s">
        <v>91</v>
      </c>
      <c r="B77" s="5" t="s">
        <v>16</v>
      </c>
      <c r="C77" s="4" t="s">
        <v>17</v>
      </c>
      <c r="D77" s="4"/>
      <c r="E77" s="6">
        <v>2.88</v>
      </c>
      <c r="F77" s="6">
        <f>E77*$N$2</f>
        <v>0</v>
      </c>
      <c r="G77" s="4"/>
      <c r="H77" s="4"/>
      <c r="I77" s="6">
        <f>F77*G77</f>
        <v>0</v>
      </c>
      <c r="J77" s="6">
        <f>F77*H77</f>
        <v>0</v>
      </c>
      <c r="K77" s="4"/>
      <c r="L77" s="4"/>
      <c r="M77" s="4"/>
    </row>
    <row r="78" spans="1:13">
      <c r="A78" s="4" t="s">
        <v>92</v>
      </c>
      <c r="B78" s="5" t="s">
        <v>16</v>
      </c>
      <c r="C78" s="4" t="s">
        <v>17</v>
      </c>
      <c r="D78" s="4"/>
      <c r="E78" s="6">
        <v>3.14</v>
      </c>
      <c r="F78" s="6">
        <f>E78*$N$2</f>
        <v>0</v>
      </c>
      <c r="G78" s="4"/>
      <c r="H78" s="4"/>
      <c r="I78" s="6">
        <f>F78*G78</f>
        <v>0</v>
      </c>
      <c r="J78" s="6">
        <f>F78*H78</f>
        <v>0</v>
      </c>
      <c r="K78" s="4"/>
      <c r="L78" s="4"/>
      <c r="M78" s="4"/>
    </row>
    <row r="79" spans="1:13">
      <c r="A79" s="4" t="s">
        <v>93</v>
      </c>
      <c r="B79" s="5" t="s">
        <v>16</v>
      </c>
      <c r="C79" s="4" t="s">
        <v>17</v>
      </c>
      <c r="D79" s="4"/>
      <c r="E79" s="6">
        <v>3.14</v>
      </c>
      <c r="F79" s="6">
        <f>E79*$N$2</f>
        <v>0</v>
      </c>
      <c r="G79" s="4"/>
      <c r="H79" s="4"/>
      <c r="I79" s="6">
        <f>F79*G79</f>
        <v>0</v>
      </c>
      <c r="J79" s="6">
        <f>F79*H79</f>
        <v>0</v>
      </c>
      <c r="K79" s="4"/>
      <c r="L79" s="4"/>
      <c r="M79" s="4"/>
    </row>
    <row r="80" spans="1:13">
      <c r="A80" s="4" t="s">
        <v>94</v>
      </c>
      <c r="B80" s="5" t="s">
        <v>16</v>
      </c>
      <c r="C80" s="4" t="s">
        <v>17</v>
      </c>
      <c r="D80" s="4"/>
      <c r="E80" s="6">
        <v>4.52</v>
      </c>
      <c r="F80" s="6">
        <f>E80*$N$2</f>
        <v>0</v>
      </c>
      <c r="G80" s="4"/>
      <c r="H80" s="4"/>
      <c r="I80" s="6">
        <f>F80*G80</f>
        <v>0</v>
      </c>
      <c r="J80" s="6">
        <f>F80*H80</f>
        <v>0</v>
      </c>
      <c r="K80" s="4"/>
      <c r="L80" s="4"/>
      <c r="M80" s="4"/>
    </row>
    <row r="81" spans="1:13">
      <c r="A81" s="4" t="s">
        <v>95</v>
      </c>
      <c r="B81" s="5" t="s">
        <v>16</v>
      </c>
      <c r="C81" s="4" t="s">
        <v>17</v>
      </c>
      <c r="D81" s="4"/>
      <c r="E81" s="6">
        <v>3.79</v>
      </c>
      <c r="F81" s="6">
        <f>E81*$N$2</f>
        <v>0</v>
      </c>
      <c r="G81" s="4"/>
      <c r="H81" s="4"/>
      <c r="I81" s="6">
        <f>F81*G81</f>
        <v>0</v>
      </c>
      <c r="J81" s="6">
        <f>F81*H81</f>
        <v>0</v>
      </c>
      <c r="K81" s="4"/>
      <c r="L81" s="4"/>
      <c r="M81" s="4"/>
    </row>
    <row r="82" spans="1:13">
      <c r="A82" s="4" t="s">
        <v>96</v>
      </c>
      <c r="B82" s="5" t="s">
        <v>16</v>
      </c>
      <c r="C82" s="4" t="s">
        <v>17</v>
      </c>
      <c r="D82" s="4"/>
      <c r="E82" s="6">
        <v>3.68</v>
      </c>
      <c r="F82" s="6">
        <f>E82*$N$2</f>
        <v>0</v>
      </c>
      <c r="G82" s="4"/>
      <c r="H82" s="4"/>
      <c r="I82" s="6">
        <f>F82*G82</f>
        <v>0</v>
      </c>
      <c r="J82" s="6">
        <f>F82*H82</f>
        <v>0</v>
      </c>
      <c r="K82" s="4"/>
      <c r="L82" s="4"/>
      <c r="M82" s="4"/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5.7109375" customWidth="1"/>
    <col min="3" max="3" width="16.7109375" customWidth="1"/>
    <col min="4" max="4" width="20.7109375" customWidth="1"/>
    <col min="5" max="5" width="28.7109375" customWidth="1"/>
    <col min="6" max="6" width="22.7109375" customWidth="1"/>
    <col min="7" max="7" width="18.7109375" customWidth="1"/>
    <col min="8" max="8" width="22.7109375" customWidth="1"/>
    <col min="9" max="11" width="18.7109375" customWidth="1"/>
    <col min="12" max="12" width="16.7109375" customWidth="1"/>
    <col min="13" max="13" width="18.7109375" customWidth="1"/>
    <col min="14" max="14" width="22.7109375" customWidth="1"/>
    <col min="15" max="15" width="16.7109375" customWidth="1"/>
  </cols>
  <sheetData>
    <row r="1" spans="1:15">
      <c r="A1" s="2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  <c r="M1" s="2" t="s">
        <v>109</v>
      </c>
      <c r="N1" s="2" t="s">
        <v>110</v>
      </c>
      <c r="O1" s="2" t="s">
        <v>13</v>
      </c>
    </row>
    <row r="3" spans="1:15">
      <c r="A3" s="4" t="s">
        <v>111</v>
      </c>
      <c r="B3" s="4" cm="1">
        <f t="array" ref="B3">IFERROR(_xlfn.TEXTJOIN(", ",TRUE,_xlfn.UNIQUE(_xlfn.FILTER(_xlfn.VSTACK('Без этажа'!B3:B1000),(_xlfn.VSTACK('Без этажа'!K3:K1000)=A3)+(_xlfn.VSTACK('Без этажа'!L3:L1000)=A3)))),"Не найдено")</f>
        <v>0</v>
      </c>
      <c r="C3" s="6" cm="1">
        <f t="array" ref="C3">IFERROR(SUM(_xlfn.FILTER(_xlfn.VSTACK('Без этажа'!I3:I1000),(_xlfn.VSTACK('Без этажа'!K3:K1000)=A3)+(_xlfn.VSTACK('Без этажа'!L3:L1000)=A3)))+SUM(_xlfn.FILTER(_xlfn.VSTACK('Без этажа'!J3:J1000),(_xlfn.VSTACK('Без этажа'!K3:K1000)=A3)+(_xlfn.VSTACK('Без этажа'!L3:L1000)=A3))),0)</f>
        <v>0</v>
      </c>
      <c r="D3" s="6">
        <f>C3*1.1</f>
        <v>0</v>
      </c>
      <c r="E3" s="6" cm="1">
        <f t="array" ref="E3">IFERROR(SUM(_xlfn.FILTER((_xlfn.VSTACK('Без этажа'!D3:D1000)*1.005*((_xlfn.VSTACK('Без этажа'!D3:D1000))-(-32))*1.2/3600),(_xlfn.VSTACK('Без этажа'!K3:K1000)=A3)+(_xlfn.VSTACK('Без этажа'!L3:L1000)=A3))),0)</f>
        <v>0</v>
      </c>
      <c r="F3" s="4"/>
      <c r="G3" s="4"/>
      <c r="H3" s="4"/>
      <c r="I3" s="4"/>
      <c r="J3" s="4"/>
      <c r="K3" s="4"/>
      <c r="L3" s="6">
        <f>J3+K3</f>
        <v>0</v>
      </c>
      <c r="M3" s="4"/>
      <c r="N3" s="4"/>
      <c r="O3" s="4"/>
    </row>
    <row r="4" spans="1:15">
      <c r="A4" s="4" t="s">
        <v>111</v>
      </c>
      <c r="B4" s="4" cm="1">
        <f t="array" ref="B4">IFERROR(_xlfn.TEXTJOIN(", ",TRUE,_xlfn.UNIQUE(_xlfn.FILTER(_xlfn.VSTACK('Без этажа'!B3:B1000),(_xlfn.VSTACK('Без этажа'!K3:K1000)=A4)+(_xlfn.VSTACK('Без этажа'!L3:L1000)=A4)))),"Не найдено")</f>
        <v>0</v>
      </c>
      <c r="C4" s="6" cm="1">
        <f t="array" ref="C4">IFERROR(SUM(_xlfn.FILTER(_xlfn.VSTACK('Без этажа'!I3:I1000),(_xlfn.VSTACK('Без этажа'!K3:K1000)=A4)+(_xlfn.VSTACK('Без этажа'!L3:L1000)=A4)))+SUM(_xlfn.FILTER(_xlfn.VSTACK('Без этажа'!J3:J1000),(_xlfn.VSTACK('Без этажа'!K3:K1000)=A4)+(_xlfn.VSTACK('Без этажа'!L3:L1000)=A4))),0)</f>
        <v>0</v>
      </c>
      <c r="D4" s="6">
        <f>C4*1.1</f>
        <v>0</v>
      </c>
      <c r="E4" s="6" cm="1">
        <f t="array" ref="E4">IFERROR(SUM(_xlfn.FILTER((_xlfn.VSTACK('Без этажа'!D3:D1000)*1.005*((_xlfn.VSTACK('Без этажа'!D3:D1000))-(-32))*1.2/3600),(_xlfn.VSTACK('Без этажа'!K3:K1000)=A4)+(_xlfn.VSTACK('Без этажа'!L3:L1000)=A4))),0)</f>
        <v>0</v>
      </c>
      <c r="F4" s="4"/>
      <c r="G4" s="4"/>
      <c r="H4" s="4"/>
      <c r="I4" s="4"/>
      <c r="J4" s="4"/>
      <c r="K4" s="4"/>
      <c r="L4" s="6">
        <f>J4+K4</f>
        <v>0</v>
      </c>
      <c r="M4" s="4"/>
      <c r="N4" s="4"/>
      <c r="O4" s="4"/>
    </row>
    <row r="5" spans="1:15">
      <c r="A5" s="4" t="s">
        <v>111</v>
      </c>
      <c r="B5" s="4" cm="1">
        <f t="array" ref="B5">IFERROR(_xlfn.TEXTJOIN(", ",TRUE,_xlfn.UNIQUE(_xlfn.FILTER(_xlfn.VSTACK('Без этажа'!B3:B1000),(_xlfn.VSTACK('Без этажа'!K3:K1000)=A5)+(_xlfn.VSTACK('Без этажа'!L3:L1000)=A5)))),"Не найдено")</f>
        <v>0</v>
      </c>
      <c r="C5" s="6" cm="1">
        <f t="array" ref="C5">IFERROR(SUM(_xlfn.FILTER(_xlfn.VSTACK('Без этажа'!I3:I1000),(_xlfn.VSTACK('Без этажа'!K3:K1000)=A5)+(_xlfn.VSTACK('Без этажа'!L3:L1000)=A5)))+SUM(_xlfn.FILTER(_xlfn.VSTACK('Без этажа'!J3:J1000),(_xlfn.VSTACK('Без этажа'!K3:K1000)=A5)+(_xlfn.VSTACK('Без этажа'!L3:L1000)=A5))),0)</f>
        <v>0</v>
      </c>
      <c r="D5" s="6">
        <f>C5*1.1</f>
        <v>0</v>
      </c>
      <c r="E5" s="6" cm="1">
        <f t="array" ref="E5">IFERROR(SUM(_xlfn.FILTER((_xlfn.VSTACK('Без этажа'!D3:D1000)*1.005*((_xlfn.VSTACK('Без этажа'!D3:D1000))-(-32))*1.2/3600),(_xlfn.VSTACK('Без этажа'!K3:K1000)=A5)+(_xlfn.VSTACK('Без этажа'!L3:L1000)=A5))),0)</f>
        <v>0</v>
      </c>
      <c r="F5" s="4"/>
      <c r="G5" s="4"/>
      <c r="H5" s="4"/>
      <c r="I5" s="4"/>
      <c r="J5" s="4"/>
      <c r="K5" s="4"/>
      <c r="L5" s="6">
        <f>J5+K5</f>
        <v>0</v>
      </c>
      <c r="M5" s="4"/>
      <c r="N5" s="4"/>
      <c r="O5" s="4"/>
    </row>
    <row r="6" spans="1:15">
      <c r="A6" s="4" t="s">
        <v>111</v>
      </c>
      <c r="B6" s="4" cm="1">
        <f t="array" ref="B6">IFERROR(_xlfn.TEXTJOIN(", ",TRUE,_xlfn.UNIQUE(_xlfn.FILTER(_xlfn.VSTACK('Без этажа'!B3:B1000),(_xlfn.VSTACK('Без этажа'!K3:K1000)=A6)+(_xlfn.VSTACK('Без этажа'!L3:L1000)=A6)))),"Не найдено")</f>
        <v>0</v>
      </c>
      <c r="C6" s="6" cm="1">
        <f t="array" ref="C6">IFERROR(SUM(_xlfn.FILTER(_xlfn.VSTACK('Без этажа'!I3:I1000),(_xlfn.VSTACK('Без этажа'!K3:K1000)=A6)+(_xlfn.VSTACK('Без этажа'!L3:L1000)=A6)))+SUM(_xlfn.FILTER(_xlfn.VSTACK('Без этажа'!J3:J1000),(_xlfn.VSTACK('Без этажа'!K3:K1000)=A6)+(_xlfn.VSTACK('Без этажа'!L3:L1000)=A6))),0)</f>
        <v>0</v>
      </c>
      <c r="D6" s="6">
        <f>C6*1.1</f>
        <v>0</v>
      </c>
      <c r="E6" s="6" cm="1">
        <f t="array" ref="E6">IFERROR(SUM(_xlfn.FILTER((_xlfn.VSTACK('Без этажа'!D3:D1000)*1.005*((_xlfn.VSTACK('Без этажа'!D3:D1000))-(-32))*1.2/3600),(_xlfn.VSTACK('Без этажа'!K3:K1000)=A6)+(_xlfn.VSTACK('Без этажа'!L3:L1000)=A6))),0)</f>
        <v>0</v>
      </c>
      <c r="F6" s="4"/>
      <c r="G6" s="4"/>
      <c r="H6" s="4"/>
      <c r="I6" s="4"/>
      <c r="J6" s="4"/>
      <c r="K6" s="4"/>
      <c r="L6" s="6">
        <f>J6+K6</f>
        <v>0</v>
      </c>
      <c r="M6" s="4"/>
      <c r="N6" s="4"/>
      <c r="O6" s="4"/>
    </row>
    <row r="7" spans="1:15">
      <c r="A7" s="4" t="s">
        <v>111</v>
      </c>
      <c r="B7" s="4" cm="1">
        <f t="array" ref="B7">IFERROR(_xlfn.TEXTJOIN(", ",TRUE,_xlfn.UNIQUE(_xlfn.FILTER(_xlfn.VSTACK('Без этажа'!B3:B1000),(_xlfn.VSTACK('Без этажа'!K3:K1000)=A7)+(_xlfn.VSTACK('Без этажа'!L3:L1000)=A7)))),"Не найдено")</f>
        <v>0</v>
      </c>
      <c r="C7" s="6" cm="1">
        <f t="array" ref="C7">IFERROR(SUM(_xlfn.FILTER(_xlfn.VSTACK('Без этажа'!I3:I1000),(_xlfn.VSTACK('Без этажа'!K3:K1000)=A7)+(_xlfn.VSTACK('Без этажа'!L3:L1000)=A7)))+SUM(_xlfn.FILTER(_xlfn.VSTACK('Без этажа'!J3:J1000),(_xlfn.VSTACK('Без этажа'!K3:K1000)=A7)+(_xlfn.VSTACK('Без этажа'!L3:L1000)=A7))),0)</f>
        <v>0</v>
      </c>
      <c r="D7" s="6">
        <f>C7*1.1</f>
        <v>0</v>
      </c>
      <c r="E7" s="6" cm="1">
        <f t="array" ref="E7">IFERROR(SUM(_xlfn.FILTER((_xlfn.VSTACK('Без этажа'!D3:D1000)*1.005*((_xlfn.VSTACK('Без этажа'!D3:D1000))-(-32))*1.2/3600),(_xlfn.VSTACK('Без этажа'!K3:K1000)=A7)+(_xlfn.VSTACK('Без этажа'!L3:L1000)=A7))),0)</f>
        <v>0</v>
      </c>
      <c r="F7" s="4"/>
      <c r="G7" s="4"/>
      <c r="H7" s="4"/>
      <c r="I7" s="4"/>
      <c r="J7" s="4"/>
      <c r="K7" s="4"/>
      <c r="L7" s="6">
        <f>J7+K7</f>
        <v>0</v>
      </c>
      <c r="M7" s="4"/>
      <c r="N7" s="4"/>
      <c r="O7" s="4"/>
    </row>
    <row r="8" spans="1:15">
      <c r="A8" s="4" t="s">
        <v>111</v>
      </c>
      <c r="B8" s="4" cm="1">
        <f t="array" ref="B8">IFERROR(_xlfn.TEXTJOIN(", ",TRUE,_xlfn.UNIQUE(_xlfn.FILTER(_xlfn.VSTACK('Без этажа'!B3:B1000),(_xlfn.VSTACK('Без этажа'!K3:K1000)=A8)+(_xlfn.VSTACK('Без этажа'!L3:L1000)=A8)))),"Не найдено")</f>
        <v>0</v>
      </c>
      <c r="C8" s="6" cm="1">
        <f t="array" ref="C8">IFERROR(SUM(_xlfn.FILTER(_xlfn.VSTACK('Без этажа'!I3:I1000),(_xlfn.VSTACK('Без этажа'!K3:K1000)=A8)+(_xlfn.VSTACK('Без этажа'!L3:L1000)=A8)))+SUM(_xlfn.FILTER(_xlfn.VSTACK('Без этажа'!J3:J1000),(_xlfn.VSTACK('Без этажа'!K3:K1000)=A8)+(_xlfn.VSTACK('Без этажа'!L3:L1000)=A8))),0)</f>
        <v>0</v>
      </c>
      <c r="D8" s="6">
        <f>C8*1.1</f>
        <v>0</v>
      </c>
      <c r="E8" s="6" cm="1">
        <f t="array" ref="E8">IFERROR(SUM(_xlfn.FILTER((_xlfn.VSTACK('Без этажа'!D3:D1000)*1.005*((_xlfn.VSTACK('Без этажа'!D3:D1000))-(-32))*1.2/3600),(_xlfn.VSTACK('Без этажа'!K3:K1000)=A8)+(_xlfn.VSTACK('Без этажа'!L3:L1000)=A8))),0)</f>
        <v>0</v>
      </c>
      <c r="F8" s="4"/>
      <c r="G8" s="4"/>
      <c r="H8" s="4"/>
      <c r="I8" s="4"/>
      <c r="J8" s="4"/>
      <c r="K8" s="4"/>
      <c r="L8" s="6">
        <f>J8+K8</f>
        <v>0</v>
      </c>
      <c r="M8" s="4"/>
      <c r="N8" s="4"/>
      <c r="O8" s="4"/>
    </row>
    <row r="9" spans="1:15">
      <c r="A9" s="4" t="s">
        <v>111</v>
      </c>
      <c r="B9" s="4" cm="1">
        <f t="array" ref="B9">IFERROR(_xlfn.TEXTJOIN(", ",TRUE,_xlfn.UNIQUE(_xlfn.FILTER(_xlfn.VSTACK('Без этажа'!B3:B1000),(_xlfn.VSTACK('Без этажа'!K3:K1000)=A9)+(_xlfn.VSTACK('Без этажа'!L3:L1000)=A9)))),"Не найдено")</f>
        <v>0</v>
      </c>
      <c r="C9" s="6" cm="1">
        <f t="array" ref="C9">IFERROR(SUM(_xlfn.FILTER(_xlfn.VSTACK('Без этажа'!I3:I1000),(_xlfn.VSTACK('Без этажа'!K3:K1000)=A9)+(_xlfn.VSTACK('Без этажа'!L3:L1000)=A9)))+SUM(_xlfn.FILTER(_xlfn.VSTACK('Без этажа'!J3:J1000),(_xlfn.VSTACK('Без этажа'!K3:K1000)=A9)+(_xlfn.VSTACK('Без этажа'!L3:L1000)=A9))),0)</f>
        <v>0</v>
      </c>
      <c r="D9" s="6">
        <f>C9*1.1</f>
        <v>0</v>
      </c>
      <c r="E9" s="6" cm="1">
        <f t="array" ref="E9">IFERROR(SUM(_xlfn.FILTER((_xlfn.VSTACK('Без этажа'!D3:D1000)*1.005*((_xlfn.VSTACK('Без этажа'!D3:D1000))-(-32))*1.2/3600),(_xlfn.VSTACK('Без этажа'!K3:K1000)=A9)+(_xlfn.VSTACK('Без этажа'!L3:L1000)=A9))),0)</f>
        <v>0</v>
      </c>
      <c r="F9" s="4"/>
      <c r="G9" s="4"/>
      <c r="H9" s="4"/>
      <c r="I9" s="4"/>
      <c r="J9" s="4"/>
      <c r="K9" s="4"/>
      <c r="L9" s="6">
        <f>J9+K9</f>
        <v>0</v>
      </c>
      <c r="M9" s="4"/>
      <c r="N9" s="4"/>
      <c r="O9" s="4"/>
    </row>
    <row r="10" spans="1:15">
      <c r="A10" s="4" t="s">
        <v>111</v>
      </c>
      <c r="B10" s="4" cm="1">
        <f t="array" ref="B10">IFERROR(_xlfn.TEXTJOIN(", ",TRUE,_xlfn.UNIQUE(_xlfn.FILTER(_xlfn.VSTACK('Без этажа'!B3:B1000),(_xlfn.VSTACK('Без этажа'!K3:K1000)=A10)+(_xlfn.VSTACK('Без этажа'!L3:L1000)=A10)))),"Не найдено")</f>
        <v>0</v>
      </c>
      <c r="C10" s="6" cm="1">
        <f t="array" ref="C10">IFERROR(SUM(_xlfn.FILTER(_xlfn.VSTACK('Без этажа'!I3:I1000),(_xlfn.VSTACK('Без этажа'!K3:K1000)=A10)+(_xlfn.VSTACK('Без этажа'!L3:L1000)=A10)))+SUM(_xlfn.FILTER(_xlfn.VSTACK('Без этажа'!J3:J1000),(_xlfn.VSTACK('Без этажа'!K3:K1000)=A10)+(_xlfn.VSTACK('Без этажа'!L3:L1000)=A10))),0)</f>
        <v>0</v>
      </c>
      <c r="D10" s="6">
        <f>C10*1.1</f>
        <v>0</v>
      </c>
      <c r="E10" s="6" cm="1">
        <f t="array" ref="E10">IFERROR(SUM(_xlfn.FILTER((_xlfn.VSTACK('Без этажа'!D3:D1000)*1.005*((_xlfn.VSTACK('Без этажа'!D3:D1000))-(-32))*1.2/3600),(_xlfn.VSTACK('Без этажа'!K3:K1000)=A10)+(_xlfn.VSTACK('Без этажа'!L3:L1000)=A10))),0)</f>
        <v>0</v>
      </c>
      <c r="F10" s="4"/>
      <c r="G10" s="4"/>
      <c r="H10" s="4"/>
      <c r="I10" s="4"/>
      <c r="J10" s="4"/>
      <c r="K10" s="4"/>
      <c r="L10" s="6">
        <f>J10+K10</f>
        <v>0</v>
      </c>
      <c r="M10" s="4"/>
      <c r="N10" s="4"/>
      <c r="O10" s="4"/>
    </row>
    <row r="11" spans="1:15">
      <c r="A11" s="4" t="s">
        <v>111</v>
      </c>
      <c r="B11" s="4" cm="1">
        <f t="array" ref="B11">IFERROR(_xlfn.TEXTJOIN(", ",TRUE,_xlfn.UNIQUE(_xlfn.FILTER(_xlfn.VSTACK('Без этажа'!B3:B1000),(_xlfn.VSTACK('Без этажа'!K3:K1000)=A11)+(_xlfn.VSTACK('Без этажа'!L3:L1000)=A11)))),"Не найдено")</f>
        <v>0</v>
      </c>
      <c r="C11" s="6" cm="1">
        <f t="array" ref="C11">IFERROR(SUM(_xlfn.FILTER(_xlfn.VSTACK('Без этажа'!I3:I1000),(_xlfn.VSTACK('Без этажа'!K3:K1000)=A11)+(_xlfn.VSTACK('Без этажа'!L3:L1000)=A11)))+SUM(_xlfn.FILTER(_xlfn.VSTACK('Без этажа'!J3:J1000),(_xlfn.VSTACK('Без этажа'!K3:K1000)=A11)+(_xlfn.VSTACK('Без этажа'!L3:L1000)=A11))),0)</f>
        <v>0</v>
      </c>
      <c r="D11" s="6">
        <f>C11*1.1</f>
        <v>0</v>
      </c>
      <c r="E11" s="6" cm="1">
        <f t="array" ref="E11">IFERROR(SUM(_xlfn.FILTER((_xlfn.VSTACK('Без этажа'!D3:D1000)*1.005*((_xlfn.VSTACK('Без этажа'!D3:D1000))-(-32))*1.2/3600),(_xlfn.VSTACK('Без этажа'!K3:K1000)=A11)+(_xlfn.VSTACK('Без этажа'!L3:L1000)=A11))),0)</f>
        <v>0</v>
      </c>
      <c r="F11" s="4"/>
      <c r="G11" s="4"/>
      <c r="H11" s="4"/>
      <c r="I11" s="4"/>
      <c r="J11" s="4"/>
      <c r="K11" s="4"/>
      <c r="L11" s="6">
        <f>J11+K11</f>
        <v>0</v>
      </c>
      <c r="M11" s="4"/>
      <c r="N11" s="4"/>
      <c r="O11" s="4"/>
    </row>
    <row r="12" spans="1:15">
      <c r="A12" s="4" t="s">
        <v>111</v>
      </c>
      <c r="B12" s="4" cm="1">
        <f t="array" ref="B12">IFERROR(_xlfn.TEXTJOIN(", ",TRUE,_xlfn.UNIQUE(_xlfn.FILTER(_xlfn.VSTACK('Без этажа'!B3:B1000),(_xlfn.VSTACK('Без этажа'!K3:K1000)=A12)+(_xlfn.VSTACK('Без этажа'!L3:L1000)=A12)))),"Не найдено")</f>
        <v>0</v>
      </c>
      <c r="C12" s="6" cm="1">
        <f t="array" ref="C12">IFERROR(SUM(_xlfn.FILTER(_xlfn.VSTACK('Без этажа'!I3:I1000),(_xlfn.VSTACK('Без этажа'!K3:K1000)=A12)+(_xlfn.VSTACK('Без этажа'!L3:L1000)=A12)))+SUM(_xlfn.FILTER(_xlfn.VSTACK('Без этажа'!J3:J1000),(_xlfn.VSTACK('Без этажа'!K3:K1000)=A12)+(_xlfn.VSTACK('Без этажа'!L3:L1000)=A12))),0)</f>
        <v>0</v>
      </c>
      <c r="D12" s="6">
        <f>C12*1.1</f>
        <v>0</v>
      </c>
      <c r="E12" s="6" cm="1">
        <f t="array" ref="E12">IFERROR(SUM(_xlfn.FILTER((_xlfn.VSTACK('Без этажа'!D3:D1000)*1.005*((_xlfn.VSTACK('Без этажа'!D3:D1000))-(-32))*1.2/3600),(_xlfn.VSTACK('Без этажа'!K3:K1000)=A12)+(_xlfn.VSTACK('Без этажа'!L3:L1000)=A12))),0)</f>
        <v>0</v>
      </c>
      <c r="F12" s="4"/>
      <c r="G12" s="4"/>
      <c r="H12" s="4"/>
      <c r="I12" s="4"/>
      <c r="J12" s="4"/>
      <c r="K12" s="4"/>
      <c r="L12" s="6">
        <f>J12+K12</f>
        <v>0</v>
      </c>
      <c r="M12" s="4"/>
      <c r="N12" s="4"/>
      <c r="O12" s="4"/>
    </row>
    <row r="13" spans="1:15">
      <c r="A13" s="4" t="s">
        <v>111</v>
      </c>
      <c r="B13" s="4" cm="1">
        <f t="array" ref="B13">IFERROR(_xlfn.TEXTJOIN(", ",TRUE,_xlfn.UNIQUE(_xlfn.FILTER(_xlfn.VSTACK('Без этажа'!B3:B1000),(_xlfn.VSTACK('Без этажа'!K3:K1000)=A13)+(_xlfn.VSTACK('Без этажа'!L3:L1000)=A13)))),"Не найдено")</f>
        <v>0</v>
      </c>
      <c r="C13" s="6" cm="1">
        <f t="array" ref="C13">IFERROR(SUM(_xlfn.FILTER(_xlfn.VSTACK('Без этажа'!I3:I1000),(_xlfn.VSTACK('Без этажа'!K3:K1000)=A13)+(_xlfn.VSTACK('Без этажа'!L3:L1000)=A13)))+SUM(_xlfn.FILTER(_xlfn.VSTACK('Без этажа'!J3:J1000),(_xlfn.VSTACK('Без этажа'!K3:K1000)=A13)+(_xlfn.VSTACK('Без этажа'!L3:L1000)=A13))),0)</f>
        <v>0</v>
      </c>
      <c r="D13" s="6">
        <f>C13*1.1</f>
        <v>0</v>
      </c>
      <c r="E13" s="6" cm="1">
        <f t="array" ref="E13">IFERROR(SUM(_xlfn.FILTER((_xlfn.VSTACK('Без этажа'!D3:D1000)*1.005*((_xlfn.VSTACK('Без этажа'!D3:D1000))-(-32))*1.2/3600),(_xlfn.VSTACK('Без этажа'!K3:K1000)=A13)+(_xlfn.VSTACK('Без этажа'!L3:L1000)=A13))),0)</f>
        <v>0</v>
      </c>
      <c r="F13" s="4"/>
      <c r="G13" s="4"/>
      <c r="H13" s="4"/>
      <c r="I13" s="4"/>
      <c r="J13" s="4"/>
      <c r="K13" s="4"/>
      <c r="L13" s="6">
        <f>J13+K13</f>
        <v>0</v>
      </c>
      <c r="M13" s="4"/>
      <c r="N13" s="4"/>
      <c r="O13" s="4"/>
    </row>
    <row r="14" spans="1:15">
      <c r="A14" s="4" t="s">
        <v>111</v>
      </c>
      <c r="B14" s="4" cm="1">
        <f t="array" ref="B14">IFERROR(_xlfn.TEXTJOIN(", ",TRUE,_xlfn.UNIQUE(_xlfn.FILTER(_xlfn.VSTACK('Без этажа'!B3:B1000),(_xlfn.VSTACK('Без этажа'!K3:K1000)=A14)+(_xlfn.VSTACK('Без этажа'!L3:L1000)=A14)))),"Не найдено")</f>
        <v>0</v>
      </c>
      <c r="C14" s="6" cm="1">
        <f t="array" ref="C14">IFERROR(SUM(_xlfn.FILTER(_xlfn.VSTACK('Без этажа'!I3:I1000),(_xlfn.VSTACK('Без этажа'!K3:K1000)=A14)+(_xlfn.VSTACK('Без этажа'!L3:L1000)=A14)))+SUM(_xlfn.FILTER(_xlfn.VSTACK('Без этажа'!J3:J1000),(_xlfn.VSTACK('Без этажа'!K3:K1000)=A14)+(_xlfn.VSTACK('Без этажа'!L3:L1000)=A14))),0)</f>
        <v>0</v>
      </c>
      <c r="D14" s="6">
        <f>C14*1.1</f>
        <v>0</v>
      </c>
      <c r="E14" s="6" cm="1">
        <f t="array" ref="E14">IFERROR(SUM(_xlfn.FILTER((_xlfn.VSTACK('Без этажа'!D3:D1000)*1.005*((_xlfn.VSTACK('Без этажа'!D3:D1000))-(-32))*1.2/3600),(_xlfn.VSTACK('Без этажа'!K3:K1000)=A14)+(_xlfn.VSTACK('Без этажа'!L3:L1000)=A14))),0)</f>
        <v>0</v>
      </c>
      <c r="F14" s="4"/>
      <c r="G14" s="4"/>
      <c r="H14" s="4"/>
      <c r="I14" s="4"/>
      <c r="J14" s="4"/>
      <c r="K14" s="4"/>
      <c r="L14" s="6">
        <f>J14+K14</f>
        <v>0</v>
      </c>
      <c r="M14" s="4"/>
      <c r="N14" s="4"/>
      <c r="O14" s="4"/>
    </row>
    <row r="15" spans="1:15">
      <c r="A15" s="4" t="s">
        <v>111</v>
      </c>
      <c r="B15" s="4" cm="1">
        <f t="array" ref="B15">IFERROR(_xlfn.TEXTJOIN(", ",TRUE,_xlfn.UNIQUE(_xlfn.FILTER(_xlfn.VSTACK('Без этажа'!B3:B1000),(_xlfn.VSTACK('Без этажа'!K3:K1000)=A15)+(_xlfn.VSTACK('Без этажа'!L3:L1000)=A15)))),"Не найдено")</f>
        <v>0</v>
      </c>
      <c r="C15" s="6" cm="1">
        <f t="array" ref="C15">IFERROR(SUM(_xlfn.FILTER(_xlfn.VSTACK('Без этажа'!I3:I1000),(_xlfn.VSTACK('Без этажа'!K3:K1000)=A15)+(_xlfn.VSTACK('Без этажа'!L3:L1000)=A15)))+SUM(_xlfn.FILTER(_xlfn.VSTACK('Без этажа'!J3:J1000),(_xlfn.VSTACK('Без этажа'!K3:K1000)=A15)+(_xlfn.VSTACK('Без этажа'!L3:L1000)=A15))),0)</f>
        <v>0</v>
      </c>
      <c r="D15" s="6">
        <f>C15*1.1</f>
        <v>0</v>
      </c>
      <c r="E15" s="6" cm="1">
        <f t="array" ref="E15">IFERROR(SUM(_xlfn.FILTER((_xlfn.VSTACK('Без этажа'!D3:D1000)*1.005*((_xlfn.VSTACK('Без этажа'!D3:D1000))-(-32))*1.2/3600),(_xlfn.VSTACK('Без этажа'!K3:K1000)=A15)+(_xlfn.VSTACK('Без этажа'!L3:L1000)=A15))),0)</f>
        <v>0</v>
      </c>
      <c r="F15" s="4"/>
      <c r="G15" s="4"/>
      <c r="H15" s="4"/>
      <c r="I15" s="4"/>
      <c r="J15" s="4"/>
      <c r="K15" s="4"/>
      <c r="L15" s="6">
        <f>J15+K15</f>
        <v>0</v>
      </c>
      <c r="M15" s="4"/>
      <c r="N15" s="4"/>
      <c r="O15" s="4"/>
    </row>
    <row r="16" spans="1:15">
      <c r="A16" s="4" t="s">
        <v>111</v>
      </c>
      <c r="B16" s="4" cm="1">
        <f t="array" ref="B16">IFERROR(_xlfn.TEXTJOIN(", ",TRUE,_xlfn.UNIQUE(_xlfn.FILTER(_xlfn.VSTACK('Без этажа'!B3:B1000),(_xlfn.VSTACK('Без этажа'!K3:K1000)=A16)+(_xlfn.VSTACK('Без этажа'!L3:L1000)=A16)))),"Не найдено")</f>
        <v>0</v>
      </c>
      <c r="C16" s="6" cm="1">
        <f t="array" ref="C16">IFERROR(SUM(_xlfn.FILTER(_xlfn.VSTACK('Без этажа'!I3:I1000),(_xlfn.VSTACK('Без этажа'!K3:K1000)=A16)+(_xlfn.VSTACK('Без этажа'!L3:L1000)=A16)))+SUM(_xlfn.FILTER(_xlfn.VSTACK('Без этажа'!J3:J1000),(_xlfn.VSTACK('Без этажа'!K3:K1000)=A16)+(_xlfn.VSTACK('Без этажа'!L3:L1000)=A16))),0)</f>
        <v>0</v>
      </c>
      <c r="D16" s="6">
        <f>C16*1.1</f>
        <v>0</v>
      </c>
      <c r="E16" s="6" cm="1">
        <f t="array" ref="E16">IFERROR(SUM(_xlfn.FILTER((_xlfn.VSTACK('Без этажа'!D3:D1000)*1.005*((_xlfn.VSTACK('Без этажа'!D3:D1000))-(-32))*1.2/3600),(_xlfn.VSTACK('Без этажа'!K3:K1000)=A16)+(_xlfn.VSTACK('Без этажа'!L3:L1000)=A16))),0)</f>
        <v>0</v>
      </c>
      <c r="F16" s="4"/>
      <c r="G16" s="4"/>
      <c r="H16" s="4"/>
      <c r="I16" s="4"/>
      <c r="J16" s="4"/>
      <c r="K16" s="4"/>
      <c r="L16" s="6">
        <f>J16+K16</f>
        <v>0</v>
      </c>
      <c r="M16" s="4"/>
      <c r="N16" s="4"/>
      <c r="O16" s="4"/>
    </row>
    <row r="17" spans="1:15">
      <c r="A17" s="4" t="s">
        <v>111</v>
      </c>
      <c r="B17" s="4" cm="1">
        <f t="array" ref="B17">IFERROR(_xlfn.TEXTJOIN(", ",TRUE,_xlfn.UNIQUE(_xlfn.FILTER(_xlfn.VSTACK('Без этажа'!B3:B1000),(_xlfn.VSTACK('Без этажа'!K3:K1000)=A17)+(_xlfn.VSTACK('Без этажа'!L3:L1000)=A17)))),"Не найдено")</f>
        <v>0</v>
      </c>
      <c r="C17" s="6" cm="1">
        <f t="array" ref="C17">IFERROR(SUM(_xlfn.FILTER(_xlfn.VSTACK('Без этажа'!I3:I1000),(_xlfn.VSTACK('Без этажа'!K3:K1000)=A17)+(_xlfn.VSTACK('Без этажа'!L3:L1000)=A17)))+SUM(_xlfn.FILTER(_xlfn.VSTACK('Без этажа'!J3:J1000),(_xlfn.VSTACK('Без этажа'!K3:K1000)=A17)+(_xlfn.VSTACK('Без этажа'!L3:L1000)=A17))),0)</f>
        <v>0</v>
      </c>
      <c r="D17" s="6">
        <f>C17*1.1</f>
        <v>0</v>
      </c>
      <c r="E17" s="6" cm="1">
        <f t="array" ref="E17">IFERROR(SUM(_xlfn.FILTER((_xlfn.VSTACK('Без этажа'!D3:D1000)*1.005*((_xlfn.VSTACK('Без этажа'!D3:D1000))-(-32))*1.2/3600),(_xlfn.VSTACK('Без этажа'!K3:K1000)=A17)+(_xlfn.VSTACK('Без этажа'!L3:L1000)=A17))),0)</f>
        <v>0</v>
      </c>
      <c r="F17" s="4"/>
      <c r="G17" s="4"/>
      <c r="H17" s="4"/>
      <c r="I17" s="4"/>
      <c r="J17" s="4"/>
      <c r="K17" s="4"/>
      <c r="L17" s="6">
        <f>J17+K17</f>
        <v>0</v>
      </c>
      <c r="M17" s="4"/>
      <c r="N17" s="4"/>
      <c r="O17" s="4"/>
    </row>
    <row r="18" spans="1:15">
      <c r="A18" s="4" t="s">
        <v>111</v>
      </c>
      <c r="B18" s="4" cm="1">
        <f t="array" ref="B18">IFERROR(_xlfn.TEXTJOIN(", ",TRUE,_xlfn.UNIQUE(_xlfn.FILTER(_xlfn.VSTACK('Без этажа'!B3:B1000),(_xlfn.VSTACK('Без этажа'!K3:K1000)=A18)+(_xlfn.VSTACK('Без этажа'!L3:L1000)=A18)))),"Не найдено")</f>
        <v>0</v>
      </c>
      <c r="C18" s="6" cm="1">
        <f t="array" ref="C18">IFERROR(SUM(_xlfn.FILTER(_xlfn.VSTACK('Без этажа'!I3:I1000),(_xlfn.VSTACK('Без этажа'!K3:K1000)=A18)+(_xlfn.VSTACK('Без этажа'!L3:L1000)=A18)))+SUM(_xlfn.FILTER(_xlfn.VSTACK('Без этажа'!J3:J1000),(_xlfn.VSTACK('Без этажа'!K3:K1000)=A18)+(_xlfn.VSTACK('Без этажа'!L3:L1000)=A18))),0)</f>
        <v>0</v>
      </c>
      <c r="D18" s="6">
        <f>C18*1.1</f>
        <v>0</v>
      </c>
      <c r="E18" s="6" cm="1">
        <f t="array" ref="E18">IFERROR(SUM(_xlfn.FILTER((_xlfn.VSTACK('Без этажа'!D3:D1000)*1.005*((_xlfn.VSTACK('Без этажа'!D3:D1000))-(-32))*1.2/3600),(_xlfn.VSTACK('Без этажа'!K3:K1000)=A18)+(_xlfn.VSTACK('Без этажа'!L3:L1000)=A18))),0)</f>
        <v>0</v>
      </c>
      <c r="F18" s="4"/>
      <c r="G18" s="4"/>
      <c r="H18" s="4"/>
      <c r="I18" s="4"/>
      <c r="J18" s="4"/>
      <c r="K18" s="4"/>
      <c r="L18" s="6">
        <f>J18+K18</f>
        <v>0</v>
      </c>
      <c r="M18" s="4"/>
      <c r="N18" s="4"/>
      <c r="O18" s="4"/>
    </row>
    <row r="19" spans="1:15">
      <c r="A19" s="4" t="s">
        <v>111</v>
      </c>
      <c r="B19" s="4" cm="1">
        <f t="array" ref="B19">IFERROR(_xlfn.TEXTJOIN(", ",TRUE,_xlfn.UNIQUE(_xlfn.FILTER(_xlfn.VSTACK('Без этажа'!B3:B1000),(_xlfn.VSTACK('Без этажа'!K3:K1000)=A19)+(_xlfn.VSTACK('Без этажа'!L3:L1000)=A19)))),"Не найдено")</f>
        <v>0</v>
      </c>
      <c r="C19" s="6" cm="1">
        <f t="array" ref="C19">IFERROR(SUM(_xlfn.FILTER(_xlfn.VSTACK('Без этажа'!I3:I1000),(_xlfn.VSTACK('Без этажа'!K3:K1000)=A19)+(_xlfn.VSTACK('Без этажа'!L3:L1000)=A19)))+SUM(_xlfn.FILTER(_xlfn.VSTACK('Без этажа'!J3:J1000),(_xlfn.VSTACK('Без этажа'!K3:K1000)=A19)+(_xlfn.VSTACK('Без этажа'!L3:L1000)=A19))),0)</f>
        <v>0</v>
      </c>
      <c r="D19" s="6">
        <f>C19*1.1</f>
        <v>0</v>
      </c>
      <c r="E19" s="6" cm="1">
        <f t="array" ref="E19">IFERROR(SUM(_xlfn.FILTER((_xlfn.VSTACK('Без этажа'!D3:D1000)*1.005*((_xlfn.VSTACK('Без этажа'!D3:D1000))-(-32))*1.2/3600),(_xlfn.VSTACK('Без этажа'!K3:K1000)=A19)+(_xlfn.VSTACK('Без этажа'!L3:L1000)=A19))),0)</f>
        <v>0</v>
      </c>
      <c r="F19" s="4"/>
      <c r="G19" s="4"/>
      <c r="H19" s="4"/>
      <c r="I19" s="4"/>
      <c r="J19" s="4"/>
      <c r="K19" s="4"/>
      <c r="L19" s="6">
        <f>J19+K19</f>
        <v>0</v>
      </c>
      <c r="M19" s="4"/>
      <c r="N19" s="4"/>
      <c r="O19" s="4"/>
    </row>
    <row r="20" spans="1:15">
      <c r="A20" s="4" t="s">
        <v>111</v>
      </c>
      <c r="B20" s="4" cm="1">
        <f t="array" ref="B20">IFERROR(_xlfn.TEXTJOIN(", ",TRUE,_xlfn.UNIQUE(_xlfn.FILTER(_xlfn.VSTACK('Без этажа'!B3:B1000),(_xlfn.VSTACK('Без этажа'!K3:K1000)=A20)+(_xlfn.VSTACK('Без этажа'!L3:L1000)=A20)))),"Не найдено")</f>
        <v>0</v>
      </c>
      <c r="C20" s="6" cm="1">
        <f t="array" ref="C20">IFERROR(SUM(_xlfn.FILTER(_xlfn.VSTACK('Без этажа'!I3:I1000),(_xlfn.VSTACK('Без этажа'!K3:K1000)=A20)+(_xlfn.VSTACK('Без этажа'!L3:L1000)=A20)))+SUM(_xlfn.FILTER(_xlfn.VSTACK('Без этажа'!J3:J1000),(_xlfn.VSTACK('Без этажа'!K3:K1000)=A20)+(_xlfn.VSTACK('Без этажа'!L3:L1000)=A20))),0)</f>
        <v>0</v>
      </c>
      <c r="D20" s="6">
        <f>C20*1.1</f>
        <v>0</v>
      </c>
      <c r="E20" s="6" cm="1">
        <f t="array" ref="E20">IFERROR(SUM(_xlfn.FILTER((_xlfn.VSTACK('Без этажа'!D3:D1000)*1.005*((_xlfn.VSTACK('Без этажа'!D3:D1000))-(-32))*1.2/3600),(_xlfn.VSTACK('Без этажа'!K3:K1000)=A20)+(_xlfn.VSTACK('Без этажа'!L3:L1000)=A20))),0)</f>
        <v>0</v>
      </c>
      <c r="F20" s="4"/>
      <c r="G20" s="4"/>
      <c r="H20" s="4"/>
      <c r="I20" s="4"/>
      <c r="J20" s="4"/>
      <c r="K20" s="4"/>
      <c r="L20" s="6">
        <f>J20+K20</f>
        <v>0</v>
      </c>
      <c r="M20" s="4"/>
      <c r="N20" s="4"/>
      <c r="O20" s="4"/>
    </row>
    <row r="21" spans="1:15">
      <c r="A21" s="4" t="s">
        <v>111</v>
      </c>
      <c r="B21" s="4" cm="1">
        <f t="array" ref="B21">IFERROR(_xlfn.TEXTJOIN(", ",TRUE,_xlfn.UNIQUE(_xlfn.FILTER(_xlfn.VSTACK('Без этажа'!B3:B1000),(_xlfn.VSTACK('Без этажа'!K3:K1000)=A21)+(_xlfn.VSTACK('Без этажа'!L3:L1000)=A21)))),"Не найдено")</f>
        <v>0</v>
      </c>
      <c r="C21" s="6" cm="1">
        <f t="array" ref="C21">IFERROR(SUM(_xlfn.FILTER(_xlfn.VSTACK('Без этажа'!I3:I1000),(_xlfn.VSTACK('Без этажа'!K3:K1000)=A21)+(_xlfn.VSTACK('Без этажа'!L3:L1000)=A21)))+SUM(_xlfn.FILTER(_xlfn.VSTACK('Без этажа'!J3:J1000),(_xlfn.VSTACK('Без этажа'!K3:K1000)=A21)+(_xlfn.VSTACK('Без этажа'!L3:L1000)=A21))),0)</f>
        <v>0</v>
      </c>
      <c r="D21" s="6">
        <f>C21*1.1</f>
        <v>0</v>
      </c>
      <c r="E21" s="6" cm="1">
        <f t="array" ref="E21">IFERROR(SUM(_xlfn.FILTER((_xlfn.VSTACK('Без этажа'!D3:D1000)*1.005*((_xlfn.VSTACK('Без этажа'!D3:D1000))-(-32))*1.2/3600),(_xlfn.VSTACK('Без этажа'!K3:K1000)=A21)+(_xlfn.VSTACK('Без этажа'!L3:L1000)=A21))),0)</f>
        <v>0</v>
      </c>
      <c r="F21" s="4"/>
      <c r="G21" s="4"/>
      <c r="H21" s="4"/>
      <c r="I21" s="4"/>
      <c r="J21" s="4"/>
      <c r="K21" s="4"/>
      <c r="L21" s="6">
        <f>J21+K21</f>
        <v>0</v>
      </c>
      <c r="M21" s="4"/>
      <c r="N21" s="4"/>
      <c r="O21" s="4"/>
    </row>
    <row r="22" spans="1:15">
      <c r="A22" s="4" t="s">
        <v>111</v>
      </c>
      <c r="B22" s="4" cm="1">
        <f t="array" ref="B22">IFERROR(_xlfn.TEXTJOIN(", ",TRUE,_xlfn.UNIQUE(_xlfn.FILTER(_xlfn.VSTACK('Без этажа'!B3:B1000),(_xlfn.VSTACK('Без этажа'!K3:K1000)=A22)+(_xlfn.VSTACK('Без этажа'!L3:L1000)=A22)))),"Не найдено")</f>
        <v>0</v>
      </c>
      <c r="C22" s="6" cm="1">
        <f t="array" ref="C22">IFERROR(SUM(_xlfn.FILTER(_xlfn.VSTACK('Без этажа'!I3:I1000),(_xlfn.VSTACK('Без этажа'!K3:K1000)=A22)+(_xlfn.VSTACK('Без этажа'!L3:L1000)=A22)))+SUM(_xlfn.FILTER(_xlfn.VSTACK('Без этажа'!J3:J1000),(_xlfn.VSTACK('Без этажа'!K3:K1000)=A22)+(_xlfn.VSTACK('Без этажа'!L3:L1000)=A22))),0)</f>
        <v>0</v>
      </c>
      <c r="D22" s="6">
        <f>C22*1.1</f>
        <v>0</v>
      </c>
      <c r="E22" s="6" cm="1">
        <f t="array" ref="E22">IFERROR(SUM(_xlfn.FILTER((_xlfn.VSTACK('Без этажа'!D3:D1000)*1.005*((_xlfn.VSTACK('Без этажа'!D3:D1000))-(-32))*1.2/3600),(_xlfn.VSTACK('Без этажа'!K3:K1000)=A22)+(_xlfn.VSTACK('Без этажа'!L3:L1000)=A22))),0)</f>
        <v>0</v>
      </c>
      <c r="F22" s="4"/>
      <c r="G22" s="4"/>
      <c r="H22" s="4"/>
      <c r="I22" s="4"/>
      <c r="J22" s="4"/>
      <c r="K22" s="4"/>
      <c r="L22" s="6">
        <f>J22+K22</f>
        <v>0</v>
      </c>
      <c r="M22" s="4"/>
      <c r="N22" s="4"/>
      <c r="O22" s="4"/>
    </row>
    <row r="23" spans="1:15">
      <c r="A23" s="4" t="s">
        <v>111</v>
      </c>
      <c r="B23" s="4" cm="1">
        <f t="array" ref="B23">IFERROR(_xlfn.TEXTJOIN(", ",TRUE,_xlfn.UNIQUE(_xlfn.FILTER(_xlfn.VSTACK('Без этажа'!B3:B1000),(_xlfn.VSTACK('Без этажа'!K3:K1000)=A23)+(_xlfn.VSTACK('Без этажа'!L3:L1000)=A23)))),"Не найдено")</f>
        <v>0</v>
      </c>
      <c r="C23" s="6" cm="1">
        <f t="array" ref="C23">IFERROR(SUM(_xlfn.FILTER(_xlfn.VSTACK('Без этажа'!I3:I1000),(_xlfn.VSTACK('Без этажа'!K3:K1000)=A23)+(_xlfn.VSTACK('Без этажа'!L3:L1000)=A23)))+SUM(_xlfn.FILTER(_xlfn.VSTACK('Без этажа'!J3:J1000),(_xlfn.VSTACK('Без этажа'!K3:K1000)=A23)+(_xlfn.VSTACK('Без этажа'!L3:L1000)=A23))),0)</f>
        <v>0</v>
      </c>
      <c r="D23" s="6">
        <f>C23*1.1</f>
        <v>0</v>
      </c>
      <c r="E23" s="6" cm="1">
        <f t="array" ref="E23">IFERROR(SUM(_xlfn.FILTER((_xlfn.VSTACK('Без этажа'!D3:D1000)*1.005*((_xlfn.VSTACK('Без этажа'!D3:D1000))-(-32))*1.2/3600),(_xlfn.VSTACK('Без этажа'!K3:K1000)=A23)+(_xlfn.VSTACK('Без этажа'!L3:L1000)=A23))),0)</f>
        <v>0</v>
      </c>
      <c r="F23" s="4"/>
      <c r="G23" s="4"/>
      <c r="H23" s="4"/>
      <c r="I23" s="4"/>
      <c r="J23" s="4"/>
      <c r="K23" s="4"/>
      <c r="L23" s="6">
        <f>J23+K23</f>
        <v>0</v>
      </c>
      <c r="M23" s="4"/>
      <c r="N23" s="4"/>
      <c r="O23" s="4"/>
    </row>
    <row r="24" spans="1:15">
      <c r="A24" s="4" t="s">
        <v>111</v>
      </c>
      <c r="B24" s="4" cm="1">
        <f t="array" ref="B24">IFERROR(_xlfn.TEXTJOIN(", ",TRUE,_xlfn.UNIQUE(_xlfn.FILTER(_xlfn.VSTACK('Без этажа'!B3:B1000),(_xlfn.VSTACK('Без этажа'!K3:K1000)=A24)+(_xlfn.VSTACK('Без этажа'!L3:L1000)=A24)))),"Не найдено")</f>
        <v>0</v>
      </c>
      <c r="C24" s="6" cm="1">
        <f t="array" ref="C24">IFERROR(SUM(_xlfn.FILTER(_xlfn.VSTACK('Без этажа'!I3:I1000),(_xlfn.VSTACK('Без этажа'!K3:K1000)=A24)+(_xlfn.VSTACK('Без этажа'!L3:L1000)=A24)))+SUM(_xlfn.FILTER(_xlfn.VSTACK('Без этажа'!J3:J1000),(_xlfn.VSTACK('Без этажа'!K3:K1000)=A24)+(_xlfn.VSTACK('Без этажа'!L3:L1000)=A24))),0)</f>
        <v>0</v>
      </c>
      <c r="D24" s="6">
        <f>C24*1.1</f>
        <v>0</v>
      </c>
      <c r="E24" s="6" cm="1">
        <f t="array" ref="E24">IFERROR(SUM(_xlfn.FILTER((_xlfn.VSTACK('Без этажа'!D3:D1000)*1.005*((_xlfn.VSTACK('Без этажа'!D3:D1000))-(-32))*1.2/3600),(_xlfn.VSTACK('Без этажа'!K3:K1000)=A24)+(_xlfn.VSTACK('Без этажа'!L3:L1000)=A24))),0)</f>
        <v>0</v>
      </c>
      <c r="F24" s="4"/>
      <c r="G24" s="4"/>
      <c r="H24" s="4"/>
      <c r="I24" s="4"/>
      <c r="J24" s="4"/>
      <c r="K24" s="4"/>
      <c r="L24" s="6">
        <f>J24+K24</f>
        <v>0</v>
      </c>
      <c r="M24" s="4"/>
      <c r="N24" s="4"/>
      <c r="O24" s="4"/>
    </row>
    <row r="25" spans="1:15">
      <c r="A25" s="4" t="s">
        <v>111</v>
      </c>
      <c r="B25" s="4" cm="1">
        <f t="array" ref="B25">IFERROR(_xlfn.TEXTJOIN(", ",TRUE,_xlfn.UNIQUE(_xlfn.FILTER(_xlfn.VSTACK('Без этажа'!B3:B1000),(_xlfn.VSTACK('Без этажа'!K3:K1000)=A25)+(_xlfn.VSTACK('Без этажа'!L3:L1000)=A25)))),"Не найдено")</f>
        <v>0</v>
      </c>
      <c r="C25" s="6" cm="1">
        <f t="array" ref="C25">IFERROR(SUM(_xlfn.FILTER(_xlfn.VSTACK('Без этажа'!I3:I1000),(_xlfn.VSTACK('Без этажа'!K3:K1000)=A25)+(_xlfn.VSTACK('Без этажа'!L3:L1000)=A25)))+SUM(_xlfn.FILTER(_xlfn.VSTACK('Без этажа'!J3:J1000),(_xlfn.VSTACK('Без этажа'!K3:K1000)=A25)+(_xlfn.VSTACK('Без этажа'!L3:L1000)=A25))),0)</f>
        <v>0</v>
      </c>
      <c r="D25" s="6">
        <f>C25*1.1</f>
        <v>0</v>
      </c>
      <c r="E25" s="6" cm="1">
        <f t="array" ref="E25">IFERROR(SUM(_xlfn.FILTER((_xlfn.VSTACK('Без этажа'!D3:D1000)*1.005*((_xlfn.VSTACK('Без этажа'!D3:D1000))-(-32))*1.2/3600),(_xlfn.VSTACK('Без этажа'!K3:K1000)=A25)+(_xlfn.VSTACK('Без этажа'!L3:L1000)=A25))),0)</f>
        <v>0</v>
      </c>
      <c r="F25" s="4"/>
      <c r="G25" s="4"/>
      <c r="H25" s="4"/>
      <c r="I25" s="4"/>
      <c r="J25" s="4"/>
      <c r="K25" s="4"/>
      <c r="L25" s="6">
        <f>J25+K25</f>
        <v>0</v>
      </c>
      <c r="M25" s="4"/>
      <c r="N25" s="4"/>
      <c r="O25" s="4"/>
    </row>
    <row r="26" spans="1:15">
      <c r="A26" s="4" t="s">
        <v>111</v>
      </c>
      <c r="B26" s="4" cm="1">
        <f t="array" ref="B26">IFERROR(_xlfn.TEXTJOIN(", ",TRUE,_xlfn.UNIQUE(_xlfn.FILTER(_xlfn.VSTACK('Без этажа'!B3:B1000),(_xlfn.VSTACK('Без этажа'!K3:K1000)=A26)+(_xlfn.VSTACK('Без этажа'!L3:L1000)=A26)))),"Не найдено")</f>
        <v>0</v>
      </c>
      <c r="C26" s="6" cm="1">
        <f t="array" ref="C26">IFERROR(SUM(_xlfn.FILTER(_xlfn.VSTACK('Без этажа'!I3:I1000),(_xlfn.VSTACK('Без этажа'!K3:K1000)=A26)+(_xlfn.VSTACK('Без этажа'!L3:L1000)=A26)))+SUM(_xlfn.FILTER(_xlfn.VSTACK('Без этажа'!J3:J1000),(_xlfn.VSTACK('Без этажа'!K3:K1000)=A26)+(_xlfn.VSTACK('Без этажа'!L3:L1000)=A26))),0)</f>
        <v>0</v>
      </c>
      <c r="D26" s="6">
        <f>C26*1.1</f>
        <v>0</v>
      </c>
      <c r="E26" s="6" cm="1">
        <f t="array" ref="E26">IFERROR(SUM(_xlfn.FILTER((_xlfn.VSTACK('Без этажа'!D3:D1000)*1.005*((_xlfn.VSTACK('Без этажа'!D3:D1000))-(-32))*1.2/3600),(_xlfn.VSTACK('Без этажа'!K3:K1000)=A26)+(_xlfn.VSTACK('Без этажа'!L3:L1000)=A26))),0)</f>
        <v>0</v>
      </c>
      <c r="F26" s="4"/>
      <c r="G26" s="4"/>
      <c r="H26" s="4"/>
      <c r="I26" s="4"/>
      <c r="J26" s="4"/>
      <c r="K26" s="4"/>
      <c r="L26" s="6">
        <f>J26+K26</f>
        <v>0</v>
      </c>
      <c r="M26" s="4"/>
      <c r="N26" s="4"/>
      <c r="O26" s="4"/>
    </row>
    <row r="27" spans="1:15">
      <c r="A27" s="4" t="s">
        <v>111</v>
      </c>
      <c r="B27" s="4" cm="1">
        <f t="array" ref="B27">IFERROR(_xlfn.TEXTJOIN(", ",TRUE,_xlfn.UNIQUE(_xlfn.FILTER(_xlfn.VSTACK('Без этажа'!B3:B1000),(_xlfn.VSTACK('Без этажа'!K3:K1000)=A27)+(_xlfn.VSTACK('Без этажа'!L3:L1000)=A27)))),"Не найдено")</f>
        <v>0</v>
      </c>
      <c r="C27" s="6" cm="1">
        <f t="array" ref="C27">IFERROR(SUM(_xlfn.FILTER(_xlfn.VSTACK('Без этажа'!I3:I1000),(_xlfn.VSTACK('Без этажа'!K3:K1000)=A27)+(_xlfn.VSTACK('Без этажа'!L3:L1000)=A27)))+SUM(_xlfn.FILTER(_xlfn.VSTACK('Без этажа'!J3:J1000),(_xlfn.VSTACK('Без этажа'!K3:K1000)=A27)+(_xlfn.VSTACK('Без этажа'!L3:L1000)=A27))),0)</f>
        <v>0</v>
      </c>
      <c r="D27" s="6">
        <f>C27*1.1</f>
        <v>0</v>
      </c>
      <c r="E27" s="6" cm="1">
        <f t="array" ref="E27">IFERROR(SUM(_xlfn.FILTER((_xlfn.VSTACK('Без этажа'!D3:D1000)*1.005*((_xlfn.VSTACK('Без этажа'!D3:D1000))-(-32))*1.2/3600),(_xlfn.VSTACK('Без этажа'!K3:K1000)=A27)+(_xlfn.VSTACK('Без этажа'!L3:L1000)=A27))),0)</f>
        <v>0</v>
      </c>
      <c r="F27" s="4"/>
      <c r="G27" s="4"/>
      <c r="H27" s="4"/>
      <c r="I27" s="4"/>
      <c r="J27" s="4"/>
      <c r="K27" s="4"/>
      <c r="L27" s="6">
        <f>J27+K27</f>
        <v>0</v>
      </c>
      <c r="M27" s="4"/>
      <c r="N27" s="4"/>
      <c r="O27" s="4"/>
    </row>
    <row r="28" spans="1:15">
      <c r="A28" s="4" t="s">
        <v>111</v>
      </c>
      <c r="B28" s="4" cm="1">
        <f t="array" ref="B28">IFERROR(_xlfn.TEXTJOIN(", ",TRUE,_xlfn.UNIQUE(_xlfn.FILTER(_xlfn.VSTACK('Без этажа'!B3:B1000),(_xlfn.VSTACK('Без этажа'!K3:K1000)=A28)+(_xlfn.VSTACK('Без этажа'!L3:L1000)=A28)))),"Не найдено")</f>
        <v>0</v>
      </c>
      <c r="C28" s="6" cm="1">
        <f t="array" ref="C28">IFERROR(SUM(_xlfn.FILTER(_xlfn.VSTACK('Без этажа'!I3:I1000),(_xlfn.VSTACK('Без этажа'!K3:K1000)=A28)+(_xlfn.VSTACK('Без этажа'!L3:L1000)=A28)))+SUM(_xlfn.FILTER(_xlfn.VSTACK('Без этажа'!J3:J1000),(_xlfn.VSTACK('Без этажа'!K3:K1000)=A28)+(_xlfn.VSTACK('Без этажа'!L3:L1000)=A28))),0)</f>
        <v>0</v>
      </c>
      <c r="D28" s="6">
        <f>C28*1.1</f>
        <v>0</v>
      </c>
      <c r="E28" s="6" cm="1">
        <f t="array" ref="E28">IFERROR(SUM(_xlfn.FILTER((_xlfn.VSTACK('Без этажа'!D3:D1000)*1.005*((_xlfn.VSTACK('Без этажа'!D3:D1000))-(-32))*1.2/3600),(_xlfn.VSTACK('Без этажа'!K3:K1000)=A28)+(_xlfn.VSTACK('Без этажа'!L3:L1000)=A28))),0)</f>
        <v>0</v>
      </c>
      <c r="F28" s="4"/>
      <c r="G28" s="4"/>
      <c r="H28" s="4"/>
      <c r="I28" s="4"/>
      <c r="J28" s="4"/>
      <c r="K28" s="4"/>
      <c r="L28" s="6">
        <f>J28+K28</f>
        <v>0</v>
      </c>
      <c r="M28" s="4"/>
      <c r="N28" s="4"/>
      <c r="O28" s="4"/>
    </row>
    <row r="29" spans="1:15">
      <c r="A29" s="4" t="s">
        <v>111</v>
      </c>
      <c r="B29" s="4" cm="1">
        <f t="array" ref="B29">IFERROR(_xlfn.TEXTJOIN(", ",TRUE,_xlfn.UNIQUE(_xlfn.FILTER(_xlfn.VSTACK('Без этажа'!B3:B1000),(_xlfn.VSTACK('Без этажа'!K3:K1000)=A29)+(_xlfn.VSTACK('Без этажа'!L3:L1000)=A29)))),"Не найдено")</f>
        <v>0</v>
      </c>
      <c r="C29" s="6" cm="1">
        <f t="array" ref="C29">IFERROR(SUM(_xlfn.FILTER(_xlfn.VSTACK('Без этажа'!I3:I1000),(_xlfn.VSTACK('Без этажа'!K3:K1000)=A29)+(_xlfn.VSTACK('Без этажа'!L3:L1000)=A29)))+SUM(_xlfn.FILTER(_xlfn.VSTACK('Без этажа'!J3:J1000),(_xlfn.VSTACK('Без этажа'!K3:K1000)=A29)+(_xlfn.VSTACK('Без этажа'!L3:L1000)=A29))),0)</f>
        <v>0</v>
      </c>
      <c r="D29" s="6">
        <f>C29*1.1</f>
        <v>0</v>
      </c>
      <c r="E29" s="6" cm="1">
        <f t="array" ref="E29">IFERROR(SUM(_xlfn.FILTER((_xlfn.VSTACK('Без этажа'!D3:D1000)*1.005*((_xlfn.VSTACK('Без этажа'!D3:D1000))-(-32))*1.2/3600),(_xlfn.VSTACK('Без этажа'!K3:K1000)=A29)+(_xlfn.VSTACK('Без этажа'!L3:L1000)=A29))),0)</f>
        <v>0</v>
      </c>
      <c r="F29" s="4"/>
      <c r="G29" s="4"/>
      <c r="H29" s="4"/>
      <c r="I29" s="4"/>
      <c r="J29" s="4"/>
      <c r="K29" s="4"/>
      <c r="L29" s="6">
        <f>J29+K29</f>
        <v>0</v>
      </c>
      <c r="M29" s="4"/>
      <c r="N29" s="4"/>
      <c r="O29" s="4"/>
    </row>
    <row r="30" spans="1:15">
      <c r="A30" s="4" t="s">
        <v>111</v>
      </c>
      <c r="B30" s="4" cm="1">
        <f t="array" ref="B30">IFERROR(_xlfn.TEXTJOIN(", ",TRUE,_xlfn.UNIQUE(_xlfn.FILTER(_xlfn.VSTACK('Без этажа'!B3:B1000),(_xlfn.VSTACK('Без этажа'!K3:K1000)=A30)+(_xlfn.VSTACK('Без этажа'!L3:L1000)=A30)))),"Не найдено")</f>
        <v>0</v>
      </c>
      <c r="C30" s="6" cm="1">
        <f t="array" ref="C30">IFERROR(SUM(_xlfn.FILTER(_xlfn.VSTACK('Без этажа'!I3:I1000),(_xlfn.VSTACK('Без этажа'!K3:K1000)=A30)+(_xlfn.VSTACK('Без этажа'!L3:L1000)=A30)))+SUM(_xlfn.FILTER(_xlfn.VSTACK('Без этажа'!J3:J1000),(_xlfn.VSTACK('Без этажа'!K3:K1000)=A30)+(_xlfn.VSTACK('Без этажа'!L3:L1000)=A30))),0)</f>
        <v>0</v>
      </c>
      <c r="D30" s="6">
        <f>C30*1.1</f>
        <v>0</v>
      </c>
      <c r="E30" s="6" cm="1">
        <f t="array" ref="E30">IFERROR(SUM(_xlfn.FILTER((_xlfn.VSTACK('Без этажа'!D3:D1000)*1.005*((_xlfn.VSTACK('Без этажа'!D3:D1000))-(-32))*1.2/3600),(_xlfn.VSTACK('Без этажа'!K3:K1000)=A30)+(_xlfn.VSTACK('Без этажа'!L3:L1000)=A30))),0)</f>
        <v>0</v>
      </c>
      <c r="F30" s="4"/>
      <c r="G30" s="4"/>
      <c r="H30" s="4"/>
      <c r="I30" s="4"/>
      <c r="J30" s="4"/>
      <c r="K30" s="4"/>
      <c r="L30" s="6">
        <f>J30+K30</f>
        <v>0</v>
      </c>
      <c r="M30" s="4"/>
      <c r="N30" s="4"/>
      <c r="O30" s="4"/>
    </row>
    <row r="31" spans="1:15">
      <c r="A31" s="4" t="s">
        <v>111</v>
      </c>
      <c r="B31" s="4" cm="1">
        <f t="array" ref="B31">IFERROR(_xlfn.TEXTJOIN(", ",TRUE,_xlfn.UNIQUE(_xlfn.FILTER(_xlfn.VSTACK('Без этажа'!B3:B1000),(_xlfn.VSTACK('Без этажа'!K3:K1000)=A31)+(_xlfn.VSTACK('Без этажа'!L3:L1000)=A31)))),"Не найдено")</f>
        <v>0</v>
      </c>
      <c r="C31" s="6" cm="1">
        <f t="array" ref="C31">IFERROR(SUM(_xlfn.FILTER(_xlfn.VSTACK('Без этажа'!I3:I1000),(_xlfn.VSTACK('Без этажа'!K3:K1000)=A31)+(_xlfn.VSTACK('Без этажа'!L3:L1000)=A31)))+SUM(_xlfn.FILTER(_xlfn.VSTACK('Без этажа'!J3:J1000),(_xlfn.VSTACK('Без этажа'!K3:K1000)=A31)+(_xlfn.VSTACK('Без этажа'!L3:L1000)=A31))),0)</f>
        <v>0</v>
      </c>
      <c r="D31" s="6">
        <f>C31*1.1</f>
        <v>0</v>
      </c>
      <c r="E31" s="6" cm="1">
        <f t="array" ref="E31">IFERROR(SUM(_xlfn.FILTER((_xlfn.VSTACK('Без этажа'!D3:D1000)*1.005*((_xlfn.VSTACK('Без этажа'!D3:D1000))-(-32))*1.2/3600),(_xlfn.VSTACK('Без этажа'!K3:K1000)=A31)+(_xlfn.VSTACK('Без этажа'!L3:L1000)=A31))),0)</f>
        <v>0</v>
      </c>
      <c r="F31" s="4"/>
      <c r="G31" s="4"/>
      <c r="H31" s="4"/>
      <c r="I31" s="4"/>
      <c r="J31" s="4"/>
      <c r="K31" s="4"/>
      <c r="L31" s="6">
        <f>J31+K31</f>
        <v>0</v>
      </c>
      <c r="M31" s="4"/>
      <c r="N31" s="4"/>
      <c r="O31" s="4"/>
    </row>
    <row r="32" spans="1:15">
      <c r="A32" s="4" t="s">
        <v>111</v>
      </c>
      <c r="B32" s="4" cm="1">
        <f t="array" ref="B32">IFERROR(_xlfn.TEXTJOIN(", ",TRUE,_xlfn.UNIQUE(_xlfn.FILTER(_xlfn.VSTACK('Без этажа'!B3:B1000),(_xlfn.VSTACK('Без этажа'!K3:K1000)=A32)+(_xlfn.VSTACK('Без этажа'!L3:L1000)=A32)))),"Не найдено")</f>
        <v>0</v>
      </c>
      <c r="C32" s="6" cm="1">
        <f t="array" ref="C32">IFERROR(SUM(_xlfn.FILTER(_xlfn.VSTACK('Без этажа'!I3:I1000),(_xlfn.VSTACK('Без этажа'!K3:K1000)=A32)+(_xlfn.VSTACK('Без этажа'!L3:L1000)=A32)))+SUM(_xlfn.FILTER(_xlfn.VSTACK('Без этажа'!J3:J1000),(_xlfn.VSTACK('Без этажа'!K3:K1000)=A32)+(_xlfn.VSTACK('Без этажа'!L3:L1000)=A32))),0)</f>
        <v>0</v>
      </c>
      <c r="D32" s="6">
        <f>C32*1.1</f>
        <v>0</v>
      </c>
      <c r="E32" s="6" cm="1">
        <f t="array" ref="E32">IFERROR(SUM(_xlfn.FILTER((_xlfn.VSTACK('Без этажа'!D3:D1000)*1.005*((_xlfn.VSTACK('Без этажа'!D3:D1000))-(-32))*1.2/3600),(_xlfn.VSTACK('Без этажа'!K3:K1000)=A32)+(_xlfn.VSTACK('Без этажа'!L3:L1000)=A32))),0)</f>
        <v>0</v>
      </c>
      <c r="F32" s="4"/>
      <c r="G32" s="4"/>
      <c r="H32" s="4"/>
      <c r="I32" s="4"/>
      <c r="J32" s="4"/>
      <c r="K32" s="4"/>
      <c r="L32" s="6">
        <f>J32+K32</f>
        <v>0</v>
      </c>
      <c r="M32" s="4"/>
      <c r="N32" s="4"/>
      <c r="O32" s="4"/>
    </row>
    <row r="33" spans="1:15">
      <c r="A33" s="4" t="s">
        <v>111</v>
      </c>
      <c r="B33" s="4" cm="1">
        <f t="array" ref="B33">IFERROR(_xlfn.TEXTJOIN(", ",TRUE,_xlfn.UNIQUE(_xlfn.FILTER(_xlfn.VSTACK('Без этажа'!B3:B1000),(_xlfn.VSTACK('Без этажа'!K3:K1000)=A33)+(_xlfn.VSTACK('Без этажа'!L3:L1000)=A33)))),"Не найдено")</f>
        <v>0</v>
      </c>
      <c r="C33" s="6" cm="1">
        <f t="array" ref="C33">IFERROR(SUM(_xlfn.FILTER(_xlfn.VSTACK('Без этажа'!I3:I1000),(_xlfn.VSTACK('Без этажа'!K3:K1000)=A33)+(_xlfn.VSTACK('Без этажа'!L3:L1000)=A33)))+SUM(_xlfn.FILTER(_xlfn.VSTACK('Без этажа'!J3:J1000),(_xlfn.VSTACK('Без этажа'!K3:K1000)=A33)+(_xlfn.VSTACK('Без этажа'!L3:L1000)=A33))),0)</f>
        <v>0</v>
      </c>
      <c r="D33" s="6">
        <f>C33*1.1</f>
        <v>0</v>
      </c>
      <c r="E33" s="6" cm="1">
        <f t="array" ref="E33">IFERROR(SUM(_xlfn.FILTER((_xlfn.VSTACK('Без этажа'!D3:D1000)*1.005*((_xlfn.VSTACK('Без этажа'!D3:D1000))-(-32))*1.2/3600),(_xlfn.VSTACK('Без этажа'!K3:K1000)=A33)+(_xlfn.VSTACK('Без этажа'!L3:L1000)=A33))),0)</f>
        <v>0</v>
      </c>
      <c r="F33" s="4"/>
      <c r="G33" s="4"/>
      <c r="H33" s="4"/>
      <c r="I33" s="4"/>
      <c r="J33" s="4"/>
      <c r="K33" s="4"/>
      <c r="L33" s="6">
        <f>J33+K33</f>
        <v>0</v>
      </c>
      <c r="M33" s="4"/>
      <c r="N33" s="4"/>
      <c r="O33" s="4"/>
    </row>
    <row r="34" spans="1:15">
      <c r="A34" s="4" t="s">
        <v>111</v>
      </c>
      <c r="B34" s="4" cm="1">
        <f t="array" ref="B34">IFERROR(_xlfn.TEXTJOIN(", ",TRUE,_xlfn.UNIQUE(_xlfn.FILTER(_xlfn.VSTACK('Без этажа'!B3:B1000),(_xlfn.VSTACK('Без этажа'!K3:K1000)=A34)+(_xlfn.VSTACK('Без этажа'!L3:L1000)=A34)))),"Не найдено")</f>
        <v>0</v>
      </c>
      <c r="C34" s="6" cm="1">
        <f t="array" ref="C34">IFERROR(SUM(_xlfn.FILTER(_xlfn.VSTACK('Без этажа'!I3:I1000),(_xlfn.VSTACK('Без этажа'!K3:K1000)=A34)+(_xlfn.VSTACK('Без этажа'!L3:L1000)=A34)))+SUM(_xlfn.FILTER(_xlfn.VSTACK('Без этажа'!J3:J1000),(_xlfn.VSTACK('Без этажа'!K3:K1000)=A34)+(_xlfn.VSTACK('Без этажа'!L3:L1000)=A34))),0)</f>
        <v>0</v>
      </c>
      <c r="D34" s="6">
        <f>C34*1.1</f>
        <v>0</v>
      </c>
      <c r="E34" s="6" cm="1">
        <f t="array" ref="E34">IFERROR(SUM(_xlfn.FILTER((_xlfn.VSTACK('Без этажа'!D3:D1000)*1.005*((_xlfn.VSTACK('Без этажа'!D3:D1000))-(-32))*1.2/3600),(_xlfn.VSTACK('Без этажа'!K3:K1000)=A34)+(_xlfn.VSTACK('Без этажа'!L3:L1000)=A34))),0)</f>
        <v>0</v>
      </c>
      <c r="F34" s="4"/>
      <c r="G34" s="4"/>
      <c r="H34" s="4"/>
      <c r="I34" s="4"/>
      <c r="J34" s="4"/>
      <c r="K34" s="4"/>
      <c r="L34" s="6">
        <f>J34+K34</f>
        <v>0</v>
      </c>
      <c r="M34" s="4"/>
      <c r="N34" s="4"/>
      <c r="O34" s="4"/>
    </row>
    <row r="35" spans="1:15">
      <c r="A35" s="4" t="s">
        <v>111</v>
      </c>
      <c r="B35" s="4" cm="1">
        <f t="array" ref="B35">IFERROR(_xlfn.TEXTJOIN(", ",TRUE,_xlfn.UNIQUE(_xlfn.FILTER(_xlfn.VSTACK('Без этажа'!B3:B1000),(_xlfn.VSTACK('Без этажа'!K3:K1000)=A35)+(_xlfn.VSTACK('Без этажа'!L3:L1000)=A35)))),"Не найдено")</f>
        <v>0</v>
      </c>
      <c r="C35" s="6" cm="1">
        <f t="array" ref="C35">IFERROR(SUM(_xlfn.FILTER(_xlfn.VSTACK('Без этажа'!I3:I1000),(_xlfn.VSTACK('Без этажа'!K3:K1000)=A35)+(_xlfn.VSTACK('Без этажа'!L3:L1000)=A35)))+SUM(_xlfn.FILTER(_xlfn.VSTACK('Без этажа'!J3:J1000),(_xlfn.VSTACK('Без этажа'!K3:K1000)=A35)+(_xlfn.VSTACK('Без этажа'!L3:L1000)=A35))),0)</f>
        <v>0</v>
      </c>
      <c r="D35" s="6">
        <f>C35*1.1</f>
        <v>0</v>
      </c>
      <c r="E35" s="6" cm="1">
        <f t="array" ref="E35">IFERROR(SUM(_xlfn.FILTER((_xlfn.VSTACK('Без этажа'!D3:D1000)*1.005*((_xlfn.VSTACK('Без этажа'!D3:D1000))-(-32))*1.2/3600),(_xlfn.VSTACK('Без этажа'!K3:K1000)=A35)+(_xlfn.VSTACK('Без этажа'!L3:L1000)=A35))),0)</f>
        <v>0</v>
      </c>
      <c r="F35" s="4"/>
      <c r="G35" s="4"/>
      <c r="H35" s="4"/>
      <c r="I35" s="4"/>
      <c r="J35" s="4"/>
      <c r="K35" s="4"/>
      <c r="L35" s="6">
        <f>J35+K35</f>
        <v>0</v>
      </c>
      <c r="M35" s="4"/>
      <c r="N35" s="4"/>
      <c r="O35" s="4"/>
    </row>
    <row r="36" spans="1:15">
      <c r="A36" s="4" t="s">
        <v>111</v>
      </c>
      <c r="B36" s="4" cm="1">
        <f t="array" ref="B36">IFERROR(_xlfn.TEXTJOIN(", ",TRUE,_xlfn.UNIQUE(_xlfn.FILTER(_xlfn.VSTACK('Без этажа'!B3:B1000),(_xlfn.VSTACK('Без этажа'!K3:K1000)=A36)+(_xlfn.VSTACK('Без этажа'!L3:L1000)=A36)))),"Не найдено")</f>
        <v>0</v>
      </c>
      <c r="C36" s="6" cm="1">
        <f t="array" ref="C36">IFERROR(SUM(_xlfn.FILTER(_xlfn.VSTACK('Без этажа'!I3:I1000),(_xlfn.VSTACK('Без этажа'!K3:K1000)=A36)+(_xlfn.VSTACK('Без этажа'!L3:L1000)=A36)))+SUM(_xlfn.FILTER(_xlfn.VSTACK('Без этажа'!J3:J1000),(_xlfn.VSTACK('Без этажа'!K3:K1000)=A36)+(_xlfn.VSTACK('Без этажа'!L3:L1000)=A36))),0)</f>
        <v>0</v>
      </c>
      <c r="D36" s="6">
        <f>C36*1.1</f>
        <v>0</v>
      </c>
      <c r="E36" s="6" cm="1">
        <f t="array" ref="E36">IFERROR(SUM(_xlfn.FILTER((_xlfn.VSTACK('Без этажа'!D3:D1000)*1.005*((_xlfn.VSTACK('Без этажа'!D3:D1000))-(-32))*1.2/3600),(_xlfn.VSTACK('Без этажа'!K3:K1000)=A36)+(_xlfn.VSTACK('Без этажа'!L3:L1000)=A36))),0)</f>
        <v>0</v>
      </c>
      <c r="F36" s="4"/>
      <c r="G36" s="4"/>
      <c r="H36" s="4"/>
      <c r="I36" s="4"/>
      <c r="J36" s="4"/>
      <c r="K36" s="4"/>
      <c r="L36" s="6">
        <f>J36+K36</f>
        <v>0</v>
      </c>
      <c r="M36" s="4"/>
      <c r="N36" s="4"/>
      <c r="O36" s="4"/>
    </row>
    <row r="37" spans="1:15">
      <c r="A37" s="4" t="s">
        <v>111</v>
      </c>
      <c r="B37" s="4" cm="1">
        <f t="array" ref="B37">IFERROR(_xlfn.TEXTJOIN(", ",TRUE,_xlfn.UNIQUE(_xlfn.FILTER(_xlfn.VSTACK('Без этажа'!B3:B1000),(_xlfn.VSTACK('Без этажа'!K3:K1000)=A37)+(_xlfn.VSTACK('Без этажа'!L3:L1000)=A37)))),"Не найдено")</f>
        <v>0</v>
      </c>
      <c r="C37" s="6" cm="1">
        <f t="array" ref="C37">IFERROR(SUM(_xlfn.FILTER(_xlfn.VSTACK('Без этажа'!I3:I1000),(_xlfn.VSTACK('Без этажа'!K3:K1000)=A37)+(_xlfn.VSTACK('Без этажа'!L3:L1000)=A37)))+SUM(_xlfn.FILTER(_xlfn.VSTACK('Без этажа'!J3:J1000),(_xlfn.VSTACK('Без этажа'!K3:K1000)=A37)+(_xlfn.VSTACK('Без этажа'!L3:L1000)=A37))),0)</f>
        <v>0</v>
      </c>
      <c r="D37" s="6">
        <f>C37*1.1</f>
        <v>0</v>
      </c>
      <c r="E37" s="6" cm="1">
        <f t="array" ref="E37">IFERROR(SUM(_xlfn.FILTER((_xlfn.VSTACK('Без этажа'!D3:D1000)*1.005*((_xlfn.VSTACK('Без этажа'!D3:D1000))-(-32))*1.2/3600),(_xlfn.VSTACK('Без этажа'!K3:K1000)=A37)+(_xlfn.VSTACK('Без этажа'!L3:L1000)=A37))),0)</f>
        <v>0</v>
      </c>
      <c r="F37" s="4"/>
      <c r="G37" s="4"/>
      <c r="H37" s="4"/>
      <c r="I37" s="4"/>
      <c r="J37" s="4"/>
      <c r="K37" s="4"/>
      <c r="L37" s="6">
        <f>J37+K37</f>
        <v>0</v>
      </c>
      <c r="M37" s="4"/>
      <c r="N37" s="4"/>
      <c r="O37" s="4"/>
    </row>
    <row r="38" spans="1:15">
      <c r="A38" s="4" t="s">
        <v>111</v>
      </c>
      <c r="B38" s="4" cm="1">
        <f t="array" ref="B38">IFERROR(_xlfn.TEXTJOIN(", ",TRUE,_xlfn.UNIQUE(_xlfn.FILTER(_xlfn.VSTACK('Без этажа'!B3:B1000),(_xlfn.VSTACK('Без этажа'!K3:K1000)=A38)+(_xlfn.VSTACK('Без этажа'!L3:L1000)=A38)))),"Не найдено")</f>
        <v>0</v>
      </c>
      <c r="C38" s="6" cm="1">
        <f t="array" ref="C38">IFERROR(SUM(_xlfn.FILTER(_xlfn.VSTACK('Без этажа'!I3:I1000),(_xlfn.VSTACK('Без этажа'!K3:K1000)=A38)+(_xlfn.VSTACK('Без этажа'!L3:L1000)=A38)))+SUM(_xlfn.FILTER(_xlfn.VSTACK('Без этажа'!J3:J1000),(_xlfn.VSTACK('Без этажа'!K3:K1000)=A38)+(_xlfn.VSTACK('Без этажа'!L3:L1000)=A38))),0)</f>
        <v>0</v>
      </c>
      <c r="D38" s="6">
        <f>C38*1.1</f>
        <v>0</v>
      </c>
      <c r="E38" s="6" cm="1">
        <f t="array" ref="E38">IFERROR(SUM(_xlfn.FILTER((_xlfn.VSTACK('Без этажа'!D3:D1000)*1.005*((_xlfn.VSTACK('Без этажа'!D3:D1000))-(-32))*1.2/3600),(_xlfn.VSTACK('Без этажа'!K3:K1000)=A38)+(_xlfn.VSTACK('Без этажа'!L3:L1000)=A38))),0)</f>
        <v>0</v>
      </c>
      <c r="F38" s="4"/>
      <c r="G38" s="4"/>
      <c r="H38" s="4"/>
      <c r="I38" s="4"/>
      <c r="J38" s="4"/>
      <c r="K38" s="4"/>
      <c r="L38" s="6">
        <f>J38+K38</f>
        <v>0</v>
      </c>
      <c r="M38" s="4"/>
      <c r="N38" s="4"/>
      <c r="O38" s="4"/>
    </row>
    <row r="39" spans="1:15">
      <c r="A39" s="4" t="s">
        <v>111</v>
      </c>
      <c r="B39" s="4" cm="1">
        <f t="array" ref="B39">IFERROR(_xlfn.TEXTJOIN(", ",TRUE,_xlfn.UNIQUE(_xlfn.FILTER(_xlfn.VSTACK('Без этажа'!B3:B1000),(_xlfn.VSTACK('Без этажа'!K3:K1000)=A39)+(_xlfn.VSTACK('Без этажа'!L3:L1000)=A39)))),"Не найдено")</f>
        <v>0</v>
      </c>
      <c r="C39" s="6" cm="1">
        <f t="array" ref="C39">IFERROR(SUM(_xlfn.FILTER(_xlfn.VSTACK('Без этажа'!I3:I1000),(_xlfn.VSTACK('Без этажа'!K3:K1000)=A39)+(_xlfn.VSTACK('Без этажа'!L3:L1000)=A39)))+SUM(_xlfn.FILTER(_xlfn.VSTACK('Без этажа'!J3:J1000),(_xlfn.VSTACK('Без этажа'!K3:K1000)=A39)+(_xlfn.VSTACK('Без этажа'!L3:L1000)=A39))),0)</f>
        <v>0</v>
      </c>
      <c r="D39" s="6">
        <f>C39*1.1</f>
        <v>0</v>
      </c>
      <c r="E39" s="6" cm="1">
        <f t="array" ref="E39">IFERROR(SUM(_xlfn.FILTER((_xlfn.VSTACK('Без этажа'!D3:D1000)*1.005*((_xlfn.VSTACK('Без этажа'!D3:D1000))-(-32))*1.2/3600),(_xlfn.VSTACK('Без этажа'!K3:K1000)=A39)+(_xlfn.VSTACK('Без этажа'!L3:L1000)=A39))),0)</f>
        <v>0</v>
      </c>
      <c r="F39" s="4"/>
      <c r="G39" s="4"/>
      <c r="H39" s="4"/>
      <c r="I39" s="4"/>
      <c r="J39" s="4"/>
      <c r="K39" s="4"/>
      <c r="L39" s="6">
        <f>J39+K39</f>
        <v>0</v>
      </c>
      <c r="M39" s="4"/>
      <c r="N39" s="4"/>
      <c r="O39" s="4"/>
    </row>
    <row r="40" spans="1:15">
      <c r="A40" s="4" t="s">
        <v>111</v>
      </c>
      <c r="B40" s="4" cm="1">
        <f t="array" ref="B40">IFERROR(_xlfn.TEXTJOIN(", ",TRUE,_xlfn.UNIQUE(_xlfn.FILTER(_xlfn.VSTACK('Без этажа'!B3:B1000),(_xlfn.VSTACK('Без этажа'!K3:K1000)=A40)+(_xlfn.VSTACK('Без этажа'!L3:L1000)=A40)))),"Не найдено")</f>
        <v>0</v>
      </c>
      <c r="C40" s="6" cm="1">
        <f t="array" ref="C40">IFERROR(SUM(_xlfn.FILTER(_xlfn.VSTACK('Без этажа'!I3:I1000),(_xlfn.VSTACK('Без этажа'!K3:K1000)=A40)+(_xlfn.VSTACK('Без этажа'!L3:L1000)=A40)))+SUM(_xlfn.FILTER(_xlfn.VSTACK('Без этажа'!J3:J1000),(_xlfn.VSTACK('Без этажа'!K3:K1000)=A40)+(_xlfn.VSTACK('Без этажа'!L3:L1000)=A40))),0)</f>
        <v>0</v>
      </c>
      <c r="D40" s="6">
        <f>C40*1.1</f>
        <v>0</v>
      </c>
      <c r="E40" s="6" cm="1">
        <f t="array" ref="E40">IFERROR(SUM(_xlfn.FILTER((_xlfn.VSTACK('Без этажа'!D3:D1000)*1.005*((_xlfn.VSTACK('Без этажа'!D3:D1000))-(-32))*1.2/3600),(_xlfn.VSTACK('Без этажа'!K3:K1000)=A40)+(_xlfn.VSTACK('Без этажа'!L3:L1000)=A40))),0)</f>
        <v>0</v>
      </c>
      <c r="F40" s="4"/>
      <c r="G40" s="4"/>
      <c r="H40" s="4"/>
      <c r="I40" s="4"/>
      <c r="J40" s="4"/>
      <c r="K40" s="4"/>
      <c r="L40" s="6">
        <f>J40+K40</f>
        <v>0</v>
      </c>
      <c r="M40" s="4"/>
      <c r="N40" s="4"/>
      <c r="O40" s="4"/>
    </row>
    <row r="41" spans="1:15">
      <c r="A41" s="4" t="s">
        <v>111</v>
      </c>
      <c r="B41" s="4" cm="1">
        <f t="array" ref="B41">IFERROR(_xlfn.TEXTJOIN(", ",TRUE,_xlfn.UNIQUE(_xlfn.FILTER(_xlfn.VSTACK('Без этажа'!B3:B1000),(_xlfn.VSTACK('Без этажа'!K3:K1000)=A41)+(_xlfn.VSTACK('Без этажа'!L3:L1000)=A41)))),"Не найдено")</f>
        <v>0</v>
      </c>
      <c r="C41" s="6" cm="1">
        <f t="array" ref="C41">IFERROR(SUM(_xlfn.FILTER(_xlfn.VSTACK('Без этажа'!I3:I1000),(_xlfn.VSTACK('Без этажа'!K3:K1000)=A41)+(_xlfn.VSTACK('Без этажа'!L3:L1000)=A41)))+SUM(_xlfn.FILTER(_xlfn.VSTACK('Без этажа'!J3:J1000),(_xlfn.VSTACK('Без этажа'!K3:K1000)=A41)+(_xlfn.VSTACK('Без этажа'!L3:L1000)=A41))),0)</f>
        <v>0</v>
      </c>
      <c r="D41" s="6">
        <f>C41*1.1</f>
        <v>0</v>
      </c>
      <c r="E41" s="6" cm="1">
        <f t="array" ref="E41">IFERROR(SUM(_xlfn.FILTER((_xlfn.VSTACK('Без этажа'!D3:D1000)*1.005*((_xlfn.VSTACK('Без этажа'!D3:D1000))-(-32))*1.2/3600),(_xlfn.VSTACK('Без этажа'!K3:K1000)=A41)+(_xlfn.VSTACK('Без этажа'!L3:L1000)=A41))),0)</f>
        <v>0</v>
      </c>
      <c r="F41" s="4"/>
      <c r="G41" s="4"/>
      <c r="H41" s="4"/>
      <c r="I41" s="4"/>
      <c r="J41" s="4"/>
      <c r="K41" s="4"/>
      <c r="L41" s="6">
        <f>J41+K41</f>
        <v>0</v>
      </c>
      <c r="M41" s="4"/>
      <c r="N41" s="4"/>
      <c r="O41" s="4"/>
    </row>
    <row r="42" spans="1:15">
      <c r="A42" s="4" t="s">
        <v>111</v>
      </c>
      <c r="B42" s="4" cm="1">
        <f t="array" ref="B42">IFERROR(_xlfn.TEXTJOIN(", ",TRUE,_xlfn.UNIQUE(_xlfn.FILTER(_xlfn.VSTACK('Без этажа'!B3:B1000),(_xlfn.VSTACK('Без этажа'!K3:K1000)=A42)+(_xlfn.VSTACK('Без этажа'!L3:L1000)=A42)))),"Не найдено")</f>
        <v>0</v>
      </c>
      <c r="C42" s="6" cm="1">
        <f t="array" ref="C42">IFERROR(SUM(_xlfn.FILTER(_xlfn.VSTACK('Без этажа'!I3:I1000),(_xlfn.VSTACK('Без этажа'!K3:K1000)=A42)+(_xlfn.VSTACK('Без этажа'!L3:L1000)=A42)))+SUM(_xlfn.FILTER(_xlfn.VSTACK('Без этажа'!J3:J1000),(_xlfn.VSTACK('Без этажа'!K3:K1000)=A42)+(_xlfn.VSTACK('Без этажа'!L3:L1000)=A42))),0)</f>
        <v>0</v>
      </c>
      <c r="D42" s="6">
        <f>C42*1.1</f>
        <v>0</v>
      </c>
      <c r="E42" s="6" cm="1">
        <f t="array" ref="E42">IFERROR(SUM(_xlfn.FILTER((_xlfn.VSTACK('Без этажа'!D3:D1000)*1.005*((_xlfn.VSTACK('Без этажа'!D3:D1000))-(-32))*1.2/3600),(_xlfn.VSTACK('Без этажа'!K3:K1000)=A42)+(_xlfn.VSTACK('Без этажа'!L3:L1000)=A42))),0)</f>
        <v>0</v>
      </c>
      <c r="F42" s="4"/>
      <c r="G42" s="4"/>
      <c r="H42" s="4"/>
      <c r="I42" s="4"/>
      <c r="J42" s="4"/>
      <c r="K42" s="4"/>
      <c r="L42" s="6">
        <f>J42+K42</f>
        <v>0</v>
      </c>
      <c r="M42" s="4"/>
      <c r="N42" s="4"/>
      <c r="O42" s="4"/>
    </row>
    <row r="43" spans="1:15">
      <c r="A43" s="4" t="s">
        <v>111</v>
      </c>
      <c r="B43" s="4" cm="1">
        <f t="array" ref="B43">IFERROR(_xlfn.TEXTJOIN(", ",TRUE,_xlfn.UNIQUE(_xlfn.FILTER(_xlfn.VSTACK('Без этажа'!B3:B1000),(_xlfn.VSTACK('Без этажа'!K3:K1000)=A43)+(_xlfn.VSTACK('Без этажа'!L3:L1000)=A43)))),"Не найдено")</f>
        <v>0</v>
      </c>
      <c r="C43" s="6" cm="1">
        <f t="array" ref="C43">IFERROR(SUM(_xlfn.FILTER(_xlfn.VSTACK('Без этажа'!I3:I1000),(_xlfn.VSTACK('Без этажа'!K3:K1000)=A43)+(_xlfn.VSTACK('Без этажа'!L3:L1000)=A43)))+SUM(_xlfn.FILTER(_xlfn.VSTACK('Без этажа'!J3:J1000),(_xlfn.VSTACK('Без этажа'!K3:K1000)=A43)+(_xlfn.VSTACK('Без этажа'!L3:L1000)=A43))),0)</f>
        <v>0</v>
      </c>
      <c r="D43" s="6">
        <f>C43*1.1</f>
        <v>0</v>
      </c>
      <c r="E43" s="6" cm="1">
        <f t="array" ref="E43">IFERROR(SUM(_xlfn.FILTER((_xlfn.VSTACK('Без этажа'!D3:D1000)*1.005*((_xlfn.VSTACK('Без этажа'!D3:D1000))-(-32))*1.2/3600),(_xlfn.VSTACK('Без этажа'!K3:K1000)=A43)+(_xlfn.VSTACK('Без этажа'!L3:L1000)=A43))),0)</f>
        <v>0</v>
      </c>
      <c r="F43" s="4"/>
      <c r="G43" s="4"/>
      <c r="H43" s="4"/>
      <c r="I43" s="4"/>
      <c r="J43" s="4"/>
      <c r="K43" s="4"/>
      <c r="L43" s="6">
        <f>J43+K43</f>
        <v>0</v>
      </c>
      <c r="M43" s="4"/>
      <c r="N43" s="4"/>
      <c r="O43" s="4"/>
    </row>
    <row r="44" spans="1:15">
      <c r="A44" s="4" t="s">
        <v>111</v>
      </c>
      <c r="B44" s="4" cm="1">
        <f t="array" ref="B44">IFERROR(_xlfn.TEXTJOIN(", ",TRUE,_xlfn.UNIQUE(_xlfn.FILTER(_xlfn.VSTACK('Без этажа'!B3:B1000),(_xlfn.VSTACK('Без этажа'!K3:K1000)=A44)+(_xlfn.VSTACK('Без этажа'!L3:L1000)=A44)))),"Не найдено")</f>
        <v>0</v>
      </c>
      <c r="C44" s="6" cm="1">
        <f t="array" ref="C44">IFERROR(SUM(_xlfn.FILTER(_xlfn.VSTACK('Без этажа'!I3:I1000),(_xlfn.VSTACK('Без этажа'!K3:K1000)=A44)+(_xlfn.VSTACK('Без этажа'!L3:L1000)=A44)))+SUM(_xlfn.FILTER(_xlfn.VSTACK('Без этажа'!J3:J1000),(_xlfn.VSTACK('Без этажа'!K3:K1000)=A44)+(_xlfn.VSTACK('Без этажа'!L3:L1000)=A44))),0)</f>
        <v>0</v>
      </c>
      <c r="D44" s="6">
        <f>C44*1.1</f>
        <v>0</v>
      </c>
      <c r="E44" s="6" cm="1">
        <f t="array" ref="E44">IFERROR(SUM(_xlfn.FILTER((_xlfn.VSTACK('Без этажа'!D3:D1000)*1.005*((_xlfn.VSTACK('Без этажа'!D3:D1000))-(-32))*1.2/3600),(_xlfn.VSTACK('Без этажа'!K3:K1000)=A44)+(_xlfn.VSTACK('Без этажа'!L3:L1000)=A44))),0)</f>
        <v>0</v>
      </c>
      <c r="F44" s="4"/>
      <c r="G44" s="4"/>
      <c r="H44" s="4"/>
      <c r="I44" s="4"/>
      <c r="J44" s="4"/>
      <c r="K44" s="4"/>
      <c r="L44" s="6">
        <f>J44+K44</f>
        <v>0</v>
      </c>
      <c r="M44" s="4"/>
      <c r="N44" s="4"/>
      <c r="O44" s="4"/>
    </row>
    <row r="45" spans="1:15">
      <c r="A45" s="4" t="s">
        <v>111</v>
      </c>
      <c r="B45" s="4" cm="1">
        <f t="array" ref="B45">IFERROR(_xlfn.TEXTJOIN(", ",TRUE,_xlfn.UNIQUE(_xlfn.FILTER(_xlfn.VSTACK('Без этажа'!B3:B1000),(_xlfn.VSTACK('Без этажа'!K3:K1000)=A45)+(_xlfn.VSTACK('Без этажа'!L3:L1000)=A45)))),"Не найдено")</f>
        <v>0</v>
      </c>
      <c r="C45" s="6" cm="1">
        <f t="array" ref="C45">IFERROR(SUM(_xlfn.FILTER(_xlfn.VSTACK('Без этажа'!I3:I1000),(_xlfn.VSTACK('Без этажа'!K3:K1000)=A45)+(_xlfn.VSTACK('Без этажа'!L3:L1000)=A45)))+SUM(_xlfn.FILTER(_xlfn.VSTACK('Без этажа'!J3:J1000),(_xlfn.VSTACK('Без этажа'!K3:K1000)=A45)+(_xlfn.VSTACK('Без этажа'!L3:L1000)=A45))),0)</f>
        <v>0</v>
      </c>
      <c r="D45" s="6">
        <f>C45*1.1</f>
        <v>0</v>
      </c>
      <c r="E45" s="6" cm="1">
        <f t="array" ref="E45">IFERROR(SUM(_xlfn.FILTER((_xlfn.VSTACK('Без этажа'!D3:D1000)*1.005*((_xlfn.VSTACK('Без этажа'!D3:D1000))-(-32))*1.2/3600),(_xlfn.VSTACK('Без этажа'!K3:K1000)=A45)+(_xlfn.VSTACK('Без этажа'!L3:L1000)=A45))),0)</f>
        <v>0</v>
      </c>
      <c r="F45" s="4"/>
      <c r="G45" s="4"/>
      <c r="H45" s="4"/>
      <c r="I45" s="4"/>
      <c r="J45" s="4"/>
      <c r="K45" s="4"/>
      <c r="L45" s="6">
        <f>J45+K45</f>
        <v>0</v>
      </c>
      <c r="M45" s="4"/>
      <c r="N45" s="4"/>
      <c r="O45" s="4"/>
    </row>
    <row r="46" spans="1:15">
      <c r="A46" s="4" t="s">
        <v>111</v>
      </c>
      <c r="B46" s="4" cm="1">
        <f t="array" ref="B46">IFERROR(_xlfn.TEXTJOIN(", ",TRUE,_xlfn.UNIQUE(_xlfn.FILTER(_xlfn.VSTACK('Без этажа'!B3:B1000),(_xlfn.VSTACK('Без этажа'!K3:K1000)=A46)+(_xlfn.VSTACK('Без этажа'!L3:L1000)=A46)))),"Не найдено")</f>
        <v>0</v>
      </c>
      <c r="C46" s="6" cm="1">
        <f t="array" ref="C46">IFERROR(SUM(_xlfn.FILTER(_xlfn.VSTACK('Без этажа'!I3:I1000),(_xlfn.VSTACK('Без этажа'!K3:K1000)=A46)+(_xlfn.VSTACK('Без этажа'!L3:L1000)=A46)))+SUM(_xlfn.FILTER(_xlfn.VSTACK('Без этажа'!J3:J1000),(_xlfn.VSTACK('Без этажа'!K3:K1000)=A46)+(_xlfn.VSTACK('Без этажа'!L3:L1000)=A46))),0)</f>
        <v>0</v>
      </c>
      <c r="D46" s="6">
        <f>C46*1.1</f>
        <v>0</v>
      </c>
      <c r="E46" s="6" cm="1">
        <f t="array" ref="E46">IFERROR(SUM(_xlfn.FILTER((_xlfn.VSTACK('Без этажа'!D3:D1000)*1.005*((_xlfn.VSTACK('Без этажа'!D3:D1000))-(-32))*1.2/3600),(_xlfn.VSTACK('Без этажа'!K3:K1000)=A46)+(_xlfn.VSTACK('Без этажа'!L3:L1000)=A46))),0)</f>
        <v>0</v>
      </c>
      <c r="F46" s="4"/>
      <c r="G46" s="4"/>
      <c r="H46" s="4"/>
      <c r="I46" s="4"/>
      <c r="J46" s="4"/>
      <c r="K46" s="4"/>
      <c r="L46" s="6">
        <f>J46+K46</f>
        <v>0</v>
      </c>
      <c r="M46" s="4"/>
      <c r="N46" s="4"/>
      <c r="O46" s="4"/>
    </row>
    <row r="47" spans="1:15">
      <c r="A47" s="4" t="s">
        <v>111</v>
      </c>
      <c r="B47" s="4" cm="1">
        <f t="array" ref="B47">IFERROR(_xlfn.TEXTJOIN(", ",TRUE,_xlfn.UNIQUE(_xlfn.FILTER(_xlfn.VSTACK('Без этажа'!B3:B1000),(_xlfn.VSTACK('Без этажа'!K3:K1000)=A47)+(_xlfn.VSTACK('Без этажа'!L3:L1000)=A47)))),"Не найдено")</f>
        <v>0</v>
      </c>
      <c r="C47" s="6" cm="1">
        <f t="array" ref="C47">IFERROR(SUM(_xlfn.FILTER(_xlfn.VSTACK('Без этажа'!I3:I1000),(_xlfn.VSTACK('Без этажа'!K3:K1000)=A47)+(_xlfn.VSTACK('Без этажа'!L3:L1000)=A47)))+SUM(_xlfn.FILTER(_xlfn.VSTACK('Без этажа'!J3:J1000),(_xlfn.VSTACK('Без этажа'!K3:K1000)=A47)+(_xlfn.VSTACK('Без этажа'!L3:L1000)=A47))),0)</f>
        <v>0</v>
      </c>
      <c r="D47" s="6">
        <f>C47*1.1</f>
        <v>0</v>
      </c>
      <c r="E47" s="6" cm="1">
        <f t="array" ref="E47">IFERROR(SUM(_xlfn.FILTER((_xlfn.VSTACK('Без этажа'!D3:D1000)*1.005*((_xlfn.VSTACK('Без этажа'!D3:D1000))-(-32))*1.2/3600),(_xlfn.VSTACK('Без этажа'!K3:K1000)=A47)+(_xlfn.VSTACK('Без этажа'!L3:L1000)=A47))),0)</f>
        <v>0</v>
      </c>
      <c r="F47" s="4"/>
      <c r="G47" s="4"/>
      <c r="H47" s="4"/>
      <c r="I47" s="4"/>
      <c r="J47" s="4"/>
      <c r="K47" s="4"/>
      <c r="L47" s="6">
        <f>J47+K47</f>
        <v>0</v>
      </c>
      <c r="M47" s="4"/>
      <c r="N47" s="4"/>
      <c r="O47" s="4"/>
    </row>
    <row r="48" spans="1:15">
      <c r="A48" s="4" t="s">
        <v>111</v>
      </c>
      <c r="B48" s="4" cm="1">
        <f t="array" ref="B48">IFERROR(_xlfn.TEXTJOIN(", ",TRUE,_xlfn.UNIQUE(_xlfn.FILTER(_xlfn.VSTACK('Без этажа'!B3:B1000),(_xlfn.VSTACK('Без этажа'!K3:K1000)=A48)+(_xlfn.VSTACK('Без этажа'!L3:L1000)=A48)))),"Не найдено")</f>
        <v>0</v>
      </c>
      <c r="C48" s="6" cm="1">
        <f t="array" ref="C48">IFERROR(SUM(_xlfn.FILTER(_xlfn.VSTACK('Без этажа'!I3:I1000),(_xlfn.VSTACK('Без этажа'!K3:K1000)=A48)+(_xlfn.VSTACK('Без этажа'!L3:L1000)=A48)))+SUM(_xlfn.FILTER(_xlfn.VSTACK('Без этажа'!J3:J1000),(_xlfn.VSTACK('Без этажа'!K3:K1000)=A48)+(_xlfn.VSTACK('Без этажа'!L3:L1000)=A48))),0)</f>
        <v>0</v>
      </c>
      <c r="D48" s="6">
        <f>C48*1.1</f>
        <v>0</v>
      </c>
      <c r="E48" s="6" cm="1">
        <f t="array" ref="E48">IFERROR(SUM(_xlfn.FILTER((_xlfn.VSTACK('Без этажа'!D3:D1000)*1.005*((_xlfn.VSTACK('Без этажа'!D3:D1000))-(-32))*1.2/3600),(_xlfn.VSTACK('Без этажа'!K3:K1000)=A48)+(_xlfn.VSTACK('Без этажа'!L3:L1000)=A48))),0)</f>
        <v>0</v>
      </c>
      <c r="F48" s="4"/>
      <c r="G48" s="4"/>
      <c r="H48" s="4"/>
      <c r="I48" s="4"/>
      <c r="J48" s="4"/>
      <c r="K48" s="4"/>
      <c r="L48" s="6">
        <f>J48+K48</f>
        <v>0</v>
      </c>
      <c r="M48" s="4"/>
      <c r="N48" s="4"/>
      <c r="O48" s="4"/>
    </row>
    <row r="49" spans="1:15">
      <c r="A49" s="4" t="s">
        <v>111</v>
      </c>
      <c r="B49" s="4" cm="1">
        <f t="array" ref="B49">IFERROR(_xlfn.TEXTJOIN(", ",TRUE,_xlfn.UNIQUE(_xlfn.FILTER(_xlfn.VSTACK('Без этажа'!B3:B1000),(_xlfn.VSTACK('Без этажа'!K3:K1000)=A49)+(_xlfn.VSTACK('Без этажа'!L3:L1000)=A49)))),"Не найдено")</f>
        <v>0</v>
      </c>
      <c r="C49" s="6" cm="1">
        <f t="array" ref="C49">IFERROR(SUM(_xlfn.FILTER(_xlfn.VSTACK('Без этажа'!I3:I1000),(_xlfn.VSTACK('Без этажа'!K3:K1000)=A49)+(_xlfn.VSTACK('Без этажа'!L3:L1000)=A49)))+SUM(_xlfn.FILTER(_xlfn.VSTACK('Без этажа'!J3:J1000),(_xlfn.VSTACK('Без этажа'!K3:K1000)=A49)+(_xlfn.VSTACK('Без этажа'!L3:L1000)=A49))),0)</f>
        <v>0</v>
      </c>
      <c r="D49" s="6">
        <f>C49*1.1</f>
        <v>0</v>
      </c>
      <c r="E49" s="6" cm="1">
        <f t="array" ref="E49">IFERROR(SUM(_xlfn.FILTER((_xlfn.VSTACK('Без этажа'!D3:D1000)*1.005*((_xlfn.VSTACK('Без этажа'!D3:D1000))-(-32))*1.2/3600),(_xlfn.VSTACK('Без этажа'!K3:K1000)=A49)+(_xlfn.VSTACK('Без этажа'!L3:L1000)=A49))),0)</f>
        <v>0</v>
      </c>
      <c r="F49" s="4"/>
      <c r="G49" s="4"/>
      <c r="H49" s="4"/>
      <c r="I49" s="4"/>
      <c r="J49" s="4"/>
      <c r="K49" s="4"/>
      <c r="L49" s="6">
        <f>J49+K49</f>
        <v>0</v>
      </c>
      <c r="M49" s="4"/>
      <c r="N49" s="4"/>
      <c r="O49" s="4"/>
    </row>
    <row r="50" spans="1:15">
      <c r="A50" s="4" t="s">
        <v>111</v>
      </c>
      <c r="B50" s="4" cm="1">
        <f t="array" ref="B50">IFERROR(_xlfn.TEXTJOIN(", ",TRUE,_xlfn.UNIQUE(_xlfn.FILTER(_xlfn.VSTACK('Без этажа'!B3:B1000),(_xlfn.VSTACK('Без этажа'!K3:K1000)=A50)+(_xlfn.VSTACK('Без этажа'!L3:L1000)=A50)))),"Не найдено")</f>
        <v>0</v>
      </c>
      <c r="C50" s="6" cm="1">
        <f t="array" ref="C50">IFERROR(SUM(_xlfn.FILTER(_xlfn.VSTACK('Без этажа'!I3:I1000),(_xlfn.VSTACK('Без этажа'!K3:K1000)=A50)+(_xlfn.VSTACK('Без этажа'!L3:L1000)=A50)))+SUM(_xlfn.FILTER(_xlfn.VSTACK('Без этажа'!J3:J1000),(_xlfn.VSTACK('Без этажа'!K3:K1000)=A50)+(_xlfn.VSTACK('Без этажа'!L3:L1000)=A50))),0)</f>
        <v>0</v>
      </c>
      <c r="D50" s="6">
        <f>C50*1.1</f>
        <v>0</v>
      </c>
      <c r="E50" s="6" cm="1">
        <f t="array" ref="E50">IFERROR(SUM(_xlfn.FILTER((_xlfn.VSTACK('Без этажа'!D3:D1000)*1.005*((_xlfn.VSTACK('Без этажа'!D3:D1000))-(-32))*1.2/3600),(_xlfn.VSTACK('Без этажа'!K3:K1000)=A50)+(_xlfn.VSTACK('Без этажа'!L3:L1000)=A50))),0)</f>
        <v>0</v>
      </c>
      <c r="F50" s="4"/>
      <c r="G50" s="4"/>
      <c r="H50" s="4"/>
      <c r="I50" s="4"/>
      <c r="J50" s="4"/>
      <c r="K50" s="4"/>
      <c r="L50" s="6">
        <f>J50+K50</f>
        <v>0</v>
      </c>
      <c r="M50" s="4"/>
      <c r="N50" s="4"/>
      <c r="O50" s="4"/>
    </row>
    <row r="51" spans="1:15">
      <c r="A51" s="4" t="s">
        <v>111</v>
      </c>
      <c r="B51" s="4" cm="1">
        <f t="array" ref="B51">IFERROR(_xlfn.TEXTJOIN(", ",TRUE,_xlfn.UNIQUE(_xlfn.FILTER(_xlfn.VSTACK('Без этажа'!B3:B1000),(_xlfn.VSTACK('Без этажа'!K3:K1000)=A51)+(_xlfn.VSTACK('Без этажа'!L3:L1000)=A51)))),"Не найдено")</f>
        <v>0</v>
      </c>
      <c r="C51" s="6" cm="1">
        <f t="array" ref="C51">IFERROR(SUM(_xlfn.FILTER(_xlfn.VSTACK('Без этажа'!I3:I1000),(_xlfn.VSTACK('Без этажа'!K3:K1000)=A51)+(_xlfn.VSTACK('Без этажа'!L3:L1000)=A51)))+SUM(_xlfn.FILTER(_xlfn.VSTACK('Без этажа'!J3:J1000),(_xlfn.VSTACK('Без этажа'!K3:K1000)=A51)+(_xlfn.VSTACK('Без этажа'!L3:L1000)=A51))),0)</f>
        <v>0</v>
      </c>
      <c r="D51" s="6">
        <f>C51*1.1</f>
        <v>0</v>
      </c>
      <c r="E51" s="6" cm="1">
        <f t="array" ref="E51">IFERROR(SUM(_xlfn.FILTER((_xlfn.VSTACK('Без этажа'!D3:D1000)*1.005*((_xlfn.VSTACK('Без этажа'!D3:D1000))-(-32))*1.2/3600),(_xlfn.VSTACK('Без этажа'!K3:K1000)=A51)+(_xlfn.VSTACK('Без этажа'!L3:L1000)=A51))),0)</f>
        <v>0</v>
      </c>
      <c r="F51" s="4"/>
      <c r="G51" s="4"/>
      <c r="H51" s="4"/>
      <c r="I51" s="4"/>
      <c r="J51" s="4"/>
      <c r="K51" s="4"/>
      <c r="L51" s="6">
        <f>J51+K51</f>
        <v>0</v>
      </c>
      <c r="M51" s="4"/>
      <c r="N51" s="4"/>
      <c r="O51" s="4"/>
    </row>
    <row r="52" spans="1:15">
      <c r="A52" s="4" t="s">
        <v>111</v>
      </c>
      <c r="B52" s="4" cm="1">
        <f t="array" ref="B52">IFERROR(_xlfn.TEXTJOIN(", ",TRUE,_xlfn.UNIQUE(_xlfn.FILTER(_xlfn.VSTACK('Без этажа'!B3:B1000),(_xlfn.VSTACK('Без этажа'!K3:K1000)=A52)+(_xlfn.VSTACK('Без этажа'!L3:L1000)=A52)))),"Не найдено")</f>
        <v>0</v>
      </c>
      <c r="C52" s="6" cm="1">
        <f t="array" ref="C52">IFERROR(SUM(_xlfn.FILTER(_xlfn.VSTACK('Без этажа'!I3:I1000),(_xlfn.VSTACK('Без этажа'!K3:K1000)=A52)+(_xlfn.VSTACK('Без этажа'!L3:L1000)=A52)))+SUM(_xlfn.FILTER(_xlfn.VSTACK('Без этажа'!J3:J1000),(_xlfn.VSTACK('Без этажа'!K3:K1000)=A52)+(_xlfn.VSTACK('Без этажа'!L3:L1000)=A52))),0)</f>
        <v>0</v>
      </c>
      <c r="D52" s="6">
        <f>C52*1.1</f>
        <v>0</v>
      </c>
      <c r="E52" s="6" cm="1">
        <f t="array" ref="E52">IFERROR(SUM(_xlfn.FILTER((_xlfn.VSTACK('Без этажа'!D3:D1000)*1.005*((_xlfn.VSTACK('Без этажа'!D3:D1000))-(-32))*1.2/3600),(_xlfn.VSTACK('Без этажа'!K3:K1000)=A52)+(_xlfn.VSTACK('Без этажа'!L3:L1000)=A52))),0)</f>
        <v>0</v>
      </c>
      <c r="F52" s="4"/>
      <c r="G52" s="4"/>
      <c r="H52" s="4"/>
      <c r="I52" s="4"/>
      <c r="J52" s="4"/>
      <c r="K52" s="4"/>
      <c r="L52" s="6">
        <f>J52+K52</f>
        <v>0</v>
      </c>
      <c r="M52" s="4"/>
      <c r="N52" s="4"/>
      <c r="O52" s="4"/>
    </row>
    <row r="53" spans="1:15">
      <c r="A53" s="4" t="s">
        <v>111</v>
      </c>
      <c r="B53" s="4" cm="1">
        <f t="array" ref="B53">IFERROR(_xlfn.TEXTJOIN(", ",TRUE,_xlfn.UNIQUE(_xlfn.FILTER(_xlfn.VSTACK('Без этажа'!B3:B1000),(_xlfn.VSTACK('Без этажа'!K3:K1000)=A53)+(_xlfn.VSTACK('Без этажа'!L3:L1000)=A53)))),"Не найдено")</f>
        <v>0</v>
      </c>
      <c r="C53" s="6" cm="1">
        <f t="array" ref="C53">IFERROR(SUM(_xlfn.FILTER(_xlfn.VSTACK('Без этажа'!I3:I1000),(_xlfn.VSTACK('Без этажа'!K3:K1000)=A53)+(_xlfn.VSTACK('Без этажа'!L3:L1000)=A53)))+SUM(_xlfn.FILTER(_xlfn.VSTACK('Без этажа'!J3:J1000),(_xlfn.VSTACK('Без этажа'!K3:K1000)=A53)+(_xlfn.VSTACK('Без этажа'!L3:L1000)=A53))),0)</f>
        <v>0</v>
      </c>
      <c r="D53" s="6">
        <f>C53*1.1</f>
        <v>0</v>
      </c>
      <c r="E53" s="6" cm="1">
        <f t="array" ref="E53">IFERROR(SUM(_xlfn.FILTER((_xlfn.VSTACK('Без этажа'!D3:D1000)*1.005*((_xlfn.VSTACK('Без этажа'!D3:D1000))-(-32))*1.2/3600),(_xlfn.VSTACK('Без этажа'!K3:K1000)=A53)+(_xlfn.VSTACK('Без этажа'!L3:L1000)=A53))),0)</f>
        <v>0</v>
      </c>
      <c r="F53" s="4"/>
      <c r="G53" s="4"/>
      <c r="H53" s="4"/>
      <c r="I53" s="4"/>
      <c r="J53" s="4"/>
      <c r="K53" s="4"/>
      <c r="L53" s="6">
        <f>J53+K53</f>
        <v>0</v>
      </c>
      <c r="M53" s="4"/>
      <c r="N53" s="4"/>
      <c r="O53" s="4"/>
    </row>
    <row r="54" spans="1:15">
      <c r="A54" s="4" t="s">
        <v>111</v>
      </c>
      <c r="B54" s="4" cm="1">
        <f t="array" ref="B54">IFERROR(_xlfn.TEXTJOIN(", ",TRUE,_xlfn.UNIQUE(_xlfn.FILTER(_xlfn.VSTACK('Без этажа'!B3:B1000),(_xlfn.VSTACK('Без этажа'!K3:K1000)=A54)+(_xlfn.VSTACK('Без этажа'!L3:L1000)=A54)))),"Не найдено")</f>
        <v>0</v>
      </c>
      <c r="C54" s="6" cm="1">
        <f t="array" ref="C54">IFERROR(SUM(_xlfn.FILTER(_xlfn.VSTACK('Без этажа'!I3:I1000),(_xlfn.VSTACK('Без этажа'!K3:K1000)=A54)+(_xlfn.VSTACK('Без этажа'!L3:L1000)=A54)))+SUM(_xlfn.FILTER(_xlfn.VSTACK('Без этажа'!J3:J1000),(_xlfn.VSTACK('Без этажа'!K3:K1000)=A54)+(_xlfn.VSTACK('Без этажа'!L3:L1000)=A54))),0)</f>
        <v>0</v>
      </c>
      <c r="D54" s="6">
        <f>C54*1.1</f>
        <v>0</v>
      </c>
      <c r="E54" s="6" cm="1">
        <f t="array" ref="E54">IFERROR(SUM(_xlfn.FILTER((_xlfn.VSTACK('Без этажа'!D3:D1000)*1.005*((_xlfn.VSTACK('Без этажа'!D3:D1000))-(-32))*1.2/3600),(_xlfn.VSTACK('Без этажа'!K3:K1000)=A54)+(_xlfn.VSTACK('Без этажа'!L3:L1000)=A54))),0)</f>
        <v>0</v>
      </c>
      <c r="F54" s="4"/>
      <c r="G54" s="4"/>
      <c r="H54" s="4"/>
      <c r="I54" s="4"/>
      <c r="J54" s="4"/>
      <c r="K54" s="4"/>
      <c r="L54" s="6">
        <f>J54+K54</f>
        <v>0</v>
      </c>
      <c r="M54" s="4"/>
      <c r="N54" s="4"/>
      <c r="O54" s="4"/>
    </row>
    <row r="55" spans="1:15">
      <c r="A55" s="4" t="s">
        <v>111</v>
      </c>
      <c r="B55" s="4" cm="1">
        <f t="array" ref="B55">IFERROR(_xlfn.TEXTJOIN(", ",TRUE,_xlfn.UNIQUE(_xlfn.FILTER(_xlfn.VSTACK('Без этажа'!B3:B1000),(_xlfn.VSTACK('Без этажа'!K3:K1000)=A55)+(_xlfn.VSTACK('Без этажа'!L3:L1000)=A55)))),"Не найдено")</f>
        <v>0</v>
      </c>
      <c r="C55" s="6" cm="1">
        <f t="array" ref="C55">IFERROR(SUM(_xlfn.FILTER(_xlfn.VSTACK('Без этажа'!I3:I1000),(_xlfn.VSTACK('Без этажа'!K3:K1000)=A55)+(_xlfn.VSTACK('Без этажа'!L3:L1000)=A55)))+SUM(_xlfn.FILTER(_xlfn.VSTACK('Без этажа'!J3:J1000),(_xlfn.VSTACK('Без этажа'!K3:K1000)=A55)+(_xlfn.VSTACK('Без этажа'!L3:L1000)=A55))),0)</f>
        <v>0</v>
      </c>
      <c r="D55" s="6">
        <f>C55*1.1</f>
        <v>0</v>
      </c>
      <c r="E55" s="6" cm="1">
        <f t="array" ref="E55">IFERROR(SUM(_xlfn.FILTER((_xlfn.VSTACK('Без этажа'!D3:D1000)*1.005*((_xlfn.VSTACK('Без этажа'!D3:D1000))-(-32))*1.2/3600),(_xlfn.VSTACK('Без этажа'!K3:K1000)=A55)+(_xlfn.VSTACK('Без этажа'!L3:L1000)=A55))),0)</f>
        <v>0</v>
      </c>
      <c r="F55" s="4"/>
      <c r="G55" s="4"/>
      <c r="H55" s="4"/>
      <c r="I55" s="4"/>
      <c r="J55" s="4"/>
      <c r="K55" s="4"/>
      <c r="L55" s="6">
        <f>J55+K55</f>
        <v>0</v>
      </c>
      <c r="M55" s="4"/>
      <c r="N55" s="4"/>
      <c r="O55" s="4"/>
    </row>
    <row r="56" spans="1:15">
      <c r="A56" s="4" t="s">
        <v>111</v>
      </c>
      <c r="B56" s="4" cm="1">
        <f t="array" ref="B56">IFERROR(_xlfn.TEXTJOIN(", ",TRUE,_xlfn.UNIQUE(_xlfn.FILTER(_xlfn.VSTACK('Без этажа'!B3:B1000),(_xlfn.VSTACK('Без этажа'!K3:K1000)=A56)+(_xlfn.VSTACK('Без этажа'!L3:L1000)=A56)))),"Не найдено")</f>
        <v>0</v>
      </c>
      <c r="C56" s="6" cm="1">
        <f t="array" ref="C56">IFERROR(SUM(_xlfn.FILTER(_xlfn.VSTACK('Без этажа'!I3:I1000),(_xlfn.VSTACK('Без этажа'!K3:K1000)=A56)+(_xlfn.VSTACK('Без этажа'!L3:L1000)=A56)))+SUM(_xlfn.FILTER(_xlfn.VSTACK('Без этажа'!J3:J1000),(_xlfn.VSTACK('Без этажа'!K3:K1000)=A56)+(_xlfn.VSTACK('Без этажа'!L3:L1000)=A56))),0)</f>
        <v>0</v>
      </c>
      <c r="D56" s="6">
        <f>C56*1.1</f>
        <v>0</v>
      </c>
      <c r="E56" s="6" cm="1">
        <f t="array" ref="E56">IFERROR(SUM(_xlfn.FILTER((_xlfn.VSTACK('Без этажа'!D3:D1000)*1.005*((_xlfn.VSTACK('Без этажа'!D3:D1000))-(-32))*1.2/3600),(_xlfn.VSTACK('Без этажа'!K3:K1000)=A56)+(_xlfn.VSTACK('Без этажа'!L3:L1000)=A56))),0)</f>
        <v>0</v>
      </c>
      <c r="F56" s="4"/>
      <c r="G56" s="4"/>
      <c r="H56" s="4"/>
      <c r="I56" s="4"/>
      <c r="J56" s="4"/>
      <c r="K56" s="4"/>
      <c r="L56" s="6">
        <f>J56+K56</f>
        <v>0</v>
      </c>
      <c r="M56" s="4"/>
      <c r="N56" s="4"/>
      <c r="O56" s="4"/>
    </row>
    <row r="57" spans="1:15">
      <c r="A57" s="4" t="s">
        <v>111</v>
      </c>
      <c r="B57" s="4" cm="1">
        <f t="array" ref="B57">IFERROR(_xlfn.TEXTJOIN(", ",TRUE,_xlfn.UNIQUE(_xlfn.FILTER(_xlfn.VSTACK('Без этажа'!B3:B1000),(_xlfn.VSTACK('Без этажа'!K3:K1000)=A57)+(_xlfn.VSTACK('Без этажа'!L3:L1000)=A57)))),"Не найдено")</f>
        <v>0</v>
      </c>
      <c r="C57" s="6" cm="1">
        <f t="array" ref="C57">IFERROR(SUM(_xlfn.FILTER(_xlfn.VSTACK('Без этажа'!I3:I1000),(_xlfn.VSTACK('Без этажа'!K3:K1000)=A57)+(_xlfn.VSTACK('Без этажа'!L3:L1000)=A57)))+SUM(_xlfn.FILTER(_xlfn.VSTACK('Без этажа'!J3:J1000),(_xlfn.VSTACK('Без этажа'!K3:K1000)=A57)+(_xlfn.VSTACK('Без этажа'!L3:L1000)=A57))),0)</f>
        <v>0</v>
      </c>
      <c r="D57" s="6">
        <f>C57*1.1</f>
        <v>0</v>
      </c>
      <c r="E57" s="6" cm="1">
        <f t="array" ref="E57">IFERROR(SUM(_xlfn.FILTER((_xlfn.VSTACK('Без этажа'!D3:D1000)*1.005*((_xlfn.VSTACK('Без этажа'!D3:D1000))-(-32))*1.2/3600),(_xlfn.VSTACK('Без этажа'!K3:K1000)=A57)+(_xlfn.VSTACK('Без этажа'!L3:L1000)=A57))),0)</f>
        <v>0</v>
      </c>
      <c r="F57" s="4"/>
      <c r="G57" s="4"/>
      <c r="H57" s="4"/>
      <c r="I57" s="4"/>
      <c r="J57" s="4"/>
      <c r="K57" s="4"/>
      <c r="L57" s="6">
        <f>J57+K57</f>
        <v>0</v>
      </c>
      <c r="M57" s="4"/>
      <c r="N57" s="4"/>
      <c r="O57" s="4"/>
    </row>
    <row r="58" spans="1:15">
      <c r="A58" s="4" t="s">
        <v>111</v>
      </c>
      <c r="B58" s="4" cm="1">
        <f t="array" ref="B58">IFERROR(_xlfn.TEXTJOIN(", ",TRUE,_xlfn.UNIQUE(_xlfn.FILTER(_xlfn.VSTACK('Без этажа'!B3:B1000),(_xlfn.VSTACK('Без этажа'!K3:K1000)=A58)+(_xlfn.VSTACK('Без этажа'!L3:L1000)=A58)))),"Не найдено")</f>
        <v>0</v>
      </c>
      <c r="C58" s="6" cm="1">
        <f t="array" ref="C58">IFERROR(SUM(_xlfn.FILTER(_xlfn.VSTACK('Без этажа'!I3:I1000),(_xlfn.VSTACK('Без этажа'!K3:K1000)=A58)+(_xlfn.VSTACK('Без этажа'!L3:L1000)=A58)))+SUM(_xlfn.FILTER(_xlfn.VSTACK('Без этажа'!J3:J1000),(_xlfn.VSTACK('Без этажа'!K3:K1000)=A58)+(_xlfn.VSTACK('Без этажа'!L3:L1000)=A58))),0)</f>
        <v>0</v>
      </c>
      <c r="D58" s="6">
        <f>C58*1.1</f>
        <v>0</v>
      </c>
      <c r="E58" s="6" cm="1">
        <f t="array" ref="E58">IFERROR(SUM(_xlfn.FILTER((_xlfn.VSTACK('Без этажа'!D3:D1000)*1.005*((_xlfn.VSTACK('Без этажа'!D3:D1000))-(-32))*1.2/3600),(_xlfn.VSTACK('Без этажа'!K3:K1000)=A58)+(_xlfn.VSTACK('Без этажа'!L3:L1000)=A58))),0)</f>
        <v>0</v>
      </c>
      <c r="F58" s="4"/>
      <c r="G58" s="4"/>
      <c r="H58" s="4"/>
      <c r="I58" s="4"/>
      <c r="J58" s="4"/>
      <c r="K58" s="4"/>
      <c r="L58" s="6">
        <f>J58+K58</f>
        <v>0</v>
      </c>
      <c r="M58" s="4"/>
      <c r="N58" s="4"/>
      <c r="O58" s="4"/>
    </row>
    <row r="59" spans="1:15">
      <c r="A59" s="4" t="s">
        <v>111</v>
      </c>
      <c r="B59" s="4" cm="1">
        <f t="array" ref="B59">IFERROR(_xlfn.TEXTJOIN(", ",TRUE,_xlfn.UNIQUE(_xlfn.FILTER(_xlfn.VSTACK('Без этажа'!B3:B1000),(_xlfn.VSTACK('Без этажа'!K3:K1000)=A59)+(_xlfn.VSTACK('Без этажа'!L3:L1000)=A59)))),"Не найдено")</f>
        <v>0</v>
      </c>
      <c r="C59" s="6" cm="1">
        <f t="array" ref="C59">IFERROR(SUM(_xlfn.FILTER(_xlfn.VSTACK('Без этажа'!I3:I1000),(_xlfn.VSTACK('Без этажа'!K3:K1000)=A59)+(_xlfn.VSTACK('Без этажа'!L3:L1000)=A59)))+SUM(_xlfn.FILTER(_xlfn.VSTACK('Без этажа'!J3:J1000),(_xlfn.VSTACK('Без этажа'!K3:K1000)=A59)+(_xlfn.VSTACK('Без этажа'!L3:L1000)=A59))),0)</f>
        <v>0</v>
      </c>
      <c r="D59" s="6">
        <f>C59*1.1</f>
        <v>0</v>
      </c>
      <c r="E59" s="6" cm="1">
        <f t="array" ref="E59">IFERROR(SUM(_xlfn.FILTER((_xlfn.VSTACK('Без этажа'!D3:D1000)*1.005*((_xlfn.VSTACK('Без этажа'!D3:D1000))-(-32))*1.2/3600),(_xlfn.VSTACK('Без этажа'!K3:K1000)=A59)+(_xlfn.VSTACK('Без этажа'!L3:L1000)=A59))),0)</f>
        <v>0</v>
      </c>
      <c r="F59" s="4"/>
      <c r="G59" s="4"/>
      <c r="H59" s="4"/>
      <c r="I59" s="4"/>
      <c r="J59" s="4"/>
      <c r="K59" s="4"/>
      <c r="L59" s="6">
        <f>J59+K59</f>
        <v>0</v>
      </c>
      <c r="M59" s="4"/>
      <c r="N59" s="4"/>
      <c r="O59" s="4"/>
    </row>
    <row r="60" spans="1:15">
      <c r="A60" s="4" t="s">
        <v>111</v>
      </c>
      <c r="B60" s="4" cm="1">
        <f t="array" ref="B60">IFERROR(_xlfn.TEXTJOIN(", ",TRUE,_xlfn.UNIQUE(_xlfn.FILTER(_xlfn.VSTACK('Без этажа'!B3:B1000),(_xlfn.VSTACK('Без этажа'!K3:K1000)=A60)+(_xlfn.VSTACK('Без этажа'!L3:L1000)=A60)))),"Не найдено")</f>
        <v>0</v>
      </c>
      <c r="C60" s="6" cm="1">
        <f t="array" ref="C60">IFERROR(SUM(_xlfn.FILTER(_xlfn.VSTACK('Без этажа'!I3:I1000),(_xlfn.VSTACK('Без этажа'!K3:K1000)=A60)+(_xlfn.VSTACK('Без этажа'!L3:L1000)=A60)))+SUM(_xlfn.FILTER(_xlfn.VSTACK('Без этажа'!J3:J1000),(_xlfn.VSTACK('Без этажа'!K3:K1000)=A60)+(_xlfn.VSTACK('Без этажа'!L3:L1000)=A60))),0)</f>
        <v>0</v>
      </c>
      <c r="D60" s="6">
        <f>C60*1.1</f>
        <v>0</v>
      </c>
      <c r="E60" s="6" cm="1">
        <f t="array" ref="E60">IFERROR(SUM(_xlfn.FILTER((_xlfn.VSTACK('Без этажа'!D3:D1000)*1.005*((_xlfn.VSTACK('Без этажа'!D3:D1000))-(-32))*1.2/3600),(_xlfn.VSTACK('Без этажа'!K3:K1000)=A60)+(_xlfn.VSTACK('Без этажа'!L3:L1000)=A60))),0)</f>
        <v>0</v>
      </c>
      <c r="F60" s="4"/>
      <c r="G60" s="4"/>
      <c r="H60" s="4"/>
      <c r="I60" s="4"/>
      <c r="J60" s="4"/>
      <c r="K60" s="4"/>
      <c r="L60" s="6">
        <f>J60+K60</f>
        <v>0</v>
      </c>
      <c r="M60" s="4"/>
      <c r="N60" s="4"/>
      <c r="O60" s="4"/>
    </row>
    <row r="61" spans="1:15">
      <c r="A61" s="4" t="s">
        <v>111</v>
      </c>
      <c r="B61" s="4" cm="1">
        <f t="array" ref="B61">IFERROR(_xlfn.TEXTJOIN(", ",TRUE,_xlfn.UNIQUE(_xlfn.FILTER(_xlfn.VSTACK('Без этажа'!B3:B1000),(_xlfn.VSTACK('Без этажа'!K3:K1000)=A61)+(_xlfn.VSTACK('Без этажа'!L3:L1000)=A61)))),"Не найдено")</f>
        <v>0</v>
      </c>
      <c r="C61" s="6" cm="1">
        <f t="array" ref="C61">IFERROR(SUM(_xlfn.FILTER(_xlfn.VSTACK('Без этажа'!I3:I1000),(_xlfn.VSTACK('Без этажа'!K3:K1000)=A61)+(_xlfn.VSTACK('Без этажа'!L3:L1000)=A61)))+SUM(_xlfn.FILTER(_xlfn.VSTACK('Без этажа'!J3:J1000),(_xlfn.VSTACK('Без этажа'!K3:K1000)=A61)+(_xlfn.VSTACK('Без этажа'!L3:L1000)=A61))),0)</f>
        <v>0</v>
      </c>
      <c r="D61" s="6">
        <f>C61*1.1</f>
        <v>0</v>
      </c>
      <c r="E61" s="6" cm="1">
        <f t="array" ref="E61">IFERROR(SUM(_xlfn.FILTER((_xlfn.VSTACK('Без этажа'!D3:D1000)*1.005*((_xlfn.VSTACK('Без этажа'!D3:D1000))-(-32))*1.2/3600),(_xlfn.VSTACK('Без этажа'!K3:K1000)=A61)+(_xlfn.VSTACK('Без этажа'!L3:L1000)=A61))),0)</f>
        <v>0</v>
      </c>
      <c r="F61" s="4"/>
      <c r="G61" s="4"/>
      <c r="H61" s="4"/>
      <c r="I61" s="4"/>
      <c r="J61" s="4"/>
      <c r="K61" s="4"/>
      <c r="L61" s="6">
        <f>J61+K61</f>
        <v>0</v>
      </c>
      <c r="M61" s="4"/>
      <c r="N61" s="4"/>
      <c r="O61" s="4"/>
    </row>
    <row r="62" spans="1:15">
      <c r="A62" s="4" t="s">
        <v>111</v>
      </c>
      <c r="B62" s="4" cm="1">
        <f t="array" ref="B62">IFERROR(_xlfn.TEXTJOIN(", ",TRUE,_xlfn.UNIQUE(_xlfn.FILTER(_xlfn.VSTACK('Без этажа'!B3:B1000),(_xlfn.VSTACK('Без этажа'!K3:K1000)=A62)+(_xlfn.VSTACK('Без этажа'!L3:L1000)=A62)))),"Не найдено")</f>
        <v>0</v>
      </c>
      <c r="C62" s="6" cm="1">
        <f t="array" ref="C62">IFERROR(SUM(_xlfn.FILTER(_xlfn.VSTACK('Без этажа'!I3:I1000),(_xlfn.VSTACK('Без этажа'!K3:K1000)=A62)+(_xlfn.VSTACK('Без этажа'!L3:L1000)=A62)))+SUM(_xlfn.FILTER(_xlfn.VSTACK('Без этажа'!J3:J1000),(_xlfn.VSTACK('Без этажа'!K3:K1000)=A62)+(_xlfn.VSTACK('Без этажа'!L3:L1000)=A62))),0)</f>
        <v>0</v>
      </c>
      <c r="D62" s="6">
        <f>C62*1.1</f>
        <v>0</v>
      </c>
      <c r="E62" s="6" cm="1">
        <f t="array" ref="E62">IFERROR(SUM(_xlfn.FILTER((_xlfn.VSTACK('Без этажа'!D3:D1000)*1.005*((_xlfn.VSTACK('Без этажа'!D3:D1000))-(-32))*1.2/3600),(_xlfn.VSTACK('Без этажа'!K3:K1000)=A62)+(_xlfn.VSTACK('Без этажа'!L3:L1000)=A62))),0)</f>
        <v>0</v>
      </c>
      <c r="F62" s="4"/>
      <c r="G62" s="4"/>
      <c r="H62" s="4"/>
      <c r="I62" s="4"/>
      <c r="J62" s="4"/>
      <c r="K62" s="4"/>
      <c r="L62" s="6">
        <f>J62+K62</f>
        <v>0</v>
      </c>
      <c r="M62" s="4"/>
      <c r="N62" s="4"/>
      <c r="O62" s="4"/>
    </row>
    <row r="63" spans="1:15">
      <c r="A63" s="4" t="s">
        <v>111</v>
      </c>
      <c r="B63" s="4" cm="1">
        <f t="array" ref="B63">IFERROR(_xlfn.TEXTJOIN(", ",TRUE,_xlfn.UNIQUE(_xlfn.FILTER(_xlfn.VSTACK('Без этажа'!B3:B1000),(_xlfn.VSTACK('Без этажа'!K3:K1000)=A63)+(_xlfn.VSTACK('Без этажа'!L3:L1000)=A63)))),"Не найдено")</f>
        <v>0</v>
      </c>
      <c r="C63" s="6" cm="1">
        <f t="array" ref="C63">IFERROR(SUM(_xlfn.FILTER(_xlfn.VSTACK('Без этажа'!I3:I1000),(_xlfn.VSTACK('Без этажа'!K3:K1000)=A63)+(_xlfn.VSTACK('Без этажа'!L3:L1000)=A63)))+SUM(_xlfn.FILTER(_xlfn.VSTACK('Без этажа'!J3:J1000),(_xlfn.VSTACK('Без этажа'!K3:K1000)=A63)+(_xlfn.VSTACK('Без этажа'!L3:L1000)=A63))),0)</f>
        <v>0</v>
      </c>
      <c r="D63" s="6">
        <f>C63*1.1</f>
        <v>0</v>
      </c>
      <c r="E63" s="6" cm="1">
        <f t="array" ref="E63">IFERROR(SUM(_xlfn.FILTER((_xlfn.VSTACK('Без этажа'!D3:D1000)*1.005*((_xlfn.VSTACK('Без этажа'!D3:D1000))-(-32))*1.2/3600),(_xlfn.VSTACK('Без этажа'!K3:K1000)=A63)+(_xlfn.VSTACK('Без этажа'!L3:L1000)=A63))),0)</f>
        <v>0</v>
      </c>
      <c r="F63" s="4"/>
      <c r="G63" s="4"/>
      <c r="H63" s="4"/>
      <c r="I63" s="4"/>
      <c r="J63" s="4"/>
      <c r="K63" s="4"/>
      <c r="L63" s="6">
        <f>J63+K63</f>
        <v>0</v>
      </c>
      <c r="M63" s="4"/>
      <c r="N63" s="4"/>
      <c r="O63" s="4"/>
    </row>
    <row r="64" spans="1:15">
      <c r="A64" s="4" t="s">
        <v>111</v>
      </c>
      <c r="B64" s="4" cm="1">
        <f t="array" ref="B64">IFERROR(_xlfn.TEXTJOIN(", ",TRUE,_xlfn.UNIQUE(_xlfn.FILTER(_xlfn.VSTACK('Без этажа'!B3:B1000),(_xlfn.VSTACK('Без этажа'!K3:K1000)=A64)+(_xlfn.VSTACK('Без этажа'!L3:L1000)=A64)))),"Не найдено")</f>
        <v>0</v>
      </c>
      <c r="C64" s="6" cm="1">
        <f t="array" ref="C64">IFERROR(SUM(_xlfn.FILTER(_xlfn.VSTACK('Без этажа'!I3:I1000),(_xlfn.VSTACK('Без этажа'!K3:K1000)=A64)+(_xlfn.VSTACK('Без этажа'!L3:L1000)=A64)))+SUM(_xlfn.FILTER(_xlfn.VSTACK('Без этажа'!J3:J1000),(_xlfn.VSTACK('Без этажа'!K3:K1000)=A64)+(_xlfn.VSTACK('Без этажа'!L3:L1000)=A64))),0)</f>
        <v>0</v>
      </c>
      <c r="D64" s="6">
        <f>C64*1.1</f>
        <v>0</v>
      </c>
      <c r="E64" s="6" cm="1">
        <f t="array" ref="E64">IFERROR(SUM(_xlfn.FILTER((_xlfn.VSTACK('Без этажа'!D3:D1000)*1.005*((_xlfn.VSTACK('Без этажа'!D3:D1000))-(-32))*1.2/3600),(_xlfn.VSTACK('Без этажа'!K3:K1000)=A64)+(_xlfn.VSTACK('Без этажа'!L3:L1000)=A64))),0)</f>
        <v>0</v>
      </c>
      <c r="F64" s="4"/>
      <c r="G64" s="4"/>
      <c r="H64" s="4"/>
      <c r="I64" s="4"/>
      <c r="J64" s="4"/>
      <c r="K64" s="4"/>
      <c r="L64" s="6">
        <f>J64+K64</f>
        <v>0</v>
      </c>
      <c r="M64" s="4"/>
      <c r="N64" s="4"/>
      <c r="O64" s="4"/>
    </row>
    <row r="65" spans="1:15">
      <c r="A65" s="4" t="s">
        <v>111</v>
      </c>
      <c r="B65" s="4" cm="1">
        <f t="array" ref="B65">IFERROR(_xlfn.TEXTJOIN(", ",TRUE,_xlfn.UNIQUE(_xlfn.FILTER(_xlfn.VSTACK('Без этажа'!B3:B1000),(_xlfn.VSTACK('Без этажа'!K3:K1000)=A65)+(_xlfn.VSTACK('Без этажа'!L3:L1000)=A65)))),"Не найдено")</f>
        <v>0</v>
      </c>
      <c r="C65" s="6" cm="1">
        <f t="array" ref="C65">IFERROR(SUM(_xlfn.FILTER(_xlfn.VSTACK('Без этажа'!I3:I1000),(_xlfn.VSTACK('Без этажа'!K3:K1000)=A65)+(_xlfn.VSTACK('Без этажа'!L3:L1000)=A65)))+SUM(_xlfn.FILTER(_xlfn.VSTACK('Без этажа'!J3:J1000),(_xlfn.VSTACK('Без этажа'!K3:K1000)=A65)+(_xlfn.VSTACK('Без этажа'!L3:L1000)=A65))),0)</f>
        <v>0</v>
      </c>
      <c r="D65" s="6">
        <f>C65*1.1</f>
        <v>0</v>
      </c>
      <c r="E65" s="6" cm="1">
        <f t="array" ref="E65">IFERROR(SUM(_xlfn.FILTER((_xlfn.VSTACK('Без этажа'!D3:D1000)*1.005*((_xlfn.VSTACK('Без этажа'!D3:D1000))-(-32))*1.2/3600),(_xlfn.VSTACK('Без этажа'!K3:K1000)=A65)+(_xlfn.VSTACK('Без этажа'!L3:L1000)=A65))),0)</f>
        <v>0</v>
      </c>
      <c r="F65" s="4"/>
      <c r="G65" s="4"/>
      <c r="H65" s="4"/>
      <c r="I65" s="4"/>
      <c r="J65" s="4"/>
      <c r="K65" s="4"/>
      <c r="L65" s="6">
        <f>J65+K65</f>
        <v>0</v>
      </c>
      <c r="M65" s="4"/>
      <c r="N65" s="4"/>
      <c r="O65" s="4"/>
    </row>
    <row r="66" spans="1:15">
      <c r="A66" s="4" t="s">
        <v>111</v>
      </c>
      <c r="B66" s="4" cm="1">
        <f t="array" ref="B66">IFERROR(_xlfn.TEXTJOIN(", ",TRUE,_xlfn.UNIQUE(_xlfn.FILTER(_xlfn.VSTACK('Без этажа'!B3:B1000),(_xlfn.VSTACK('Без этажа'!K3:K1000)=A66)+(_xlfn.VSTACK('Без этажа'!L3:L1000)=A66)))),"Не найдено")</f>
        <v>0</v>
      </c>
      <c r="C66" s="6" cm="1">
        <f t="array" ref="C66">IFERROR(SUM(_xlfn.FILTER(_xlfn.VSTACK('Без этажа'!I3:I1000),(_xlfn.VSTACK('Без этажа'!K3:K1000)=A66)+(_xlfn.VSTACK('Без этажа'!L3:L1000)=A66)))+SUM(_xlfn.FILTER(_xlfn.VSTACK('Без этажа'!J3:J1000),(_xlfn.VSTACK('Без этажа'!K3:K1000)=A66)+(_xlfn.VSTACK('Без этажа'!L3:L1000)=A66))),0)</f>
        <v>0</v>
      </c>
      <c r="D66" s="6">
        <f>C66*1.1</f>
        <v>0</v>
      </c>
      <c r="E66" s="6" cm="1">
        <f t="array" ref="E66">IFERROR(SUM(_xlfn.FILTER((_xlfn.VSTACK('Без этажа'!D3:D1000)*1.005*((_xlfn.VSTACK('Без этажа'!D3:D1000))-(-32))*1.2/3600),(_xlfn.VSTACK('Без этажа'!K3:K1000)=A66)+(_xlfn.VSTACK('Без этажа'!L3:L1000)=A66))),0)</f>
        <v>0</v>
      </c>
      <c r="F66" s="4"/>
      <c r="G66" s="4"/>
      <c r="H66" s="4"/>
      <c r="I66" s="4"/>
      <c r="J66" s="4"/>
      <c r="K66" s="4"/>
      <c r="L66" s="6">
        <f>J66+K66</f>
        <v>0</v>
      </c>
      <c r="M66" s="4"/>
      <c r="N66" s="4"/>
      <c r="O66" s="4"/>
    </row>
    <row r="67" spans="1:15">
      <c r="A67" s="4" t="s">
        <v>111</v>
      </c>
      <c r="B67" s="4" cm="1">
        <f t="array" ref="B67">IFERROR(_xlfn.TEXTJOIN(", ",TRUE,_xlfn.UNIQUE(_xlfn.FILTER(_xlfn.VSTACK('Без этажа'!B3:B1000),(_xlfn.VSTACK('Без этажа'!K3:K1000)=A67)+(_xlfn.VSTACK('Без этажа'!L3:L1000)=A67)))),"Не найдено")</f>
        <v>0</v>
      </c>
      <c r="C67" s="6" cm="1">
        <f t="array" ref="C67">IFERROR(SUM(_xlfn.FILTER(_xlfn.VSTACK('Без этажа'!I3:I1000),(_xlfn.VSTACK('Без этажа'!K3:K1000)=A67)+(_xlfn.VSTACK('Без этажа'!L3:L1000)=A67)))+SUM(_xlfn.FILTER(_xlfn.VSTACK('Без этажа'!J3:J1000),(_xlfn.VSTACK('Без этажа'!K3:K1000)=A67)+(_xlfn.VSTACK('Без этажа'!L3:L1000)=A67))),0)</f>
        <v>0</v>
      </c>
      <c r="D67" s="6">
        <f>C67*1.1</f>
        <v>0</v>
      </c>
      <c r="E67" s="6" cm="1">
        <f t="array" ref="E67">IFERROR(SUM(_xlfn.FILTER((_xlfn.VSTACK('Без этажа'!D3:D1000)*1.005*((_xlfn.VSTACK('Без этажа'!D3:D1000))-(-32))*1.2/3600),(_xlfn.VSTACK('Без этажа'!K3:K1000)=A67)+(_xlfn.VSTACK('Без этажа'!L3:L1000)=A67))),0)</f>
        <v>0</v>
      </c>
      <c r="F67" s="4"/>
      <c r="G67" s="4"/>
      <c r="H67" s="4"/>
      <c r="I67" s="4"/>
      <c r="J67" s="4"/>
      <c r="K67" s="4"/>
      <c r="L67" s="6">
        <f>J67+K67</f>
        <v>0</v>
      </c>
      <c r="M67" s="4"/>
      <c r="N67" s="4"/>
      <c r="O67" s="4"/>
    </row>
    <row r="68" spans="1:15">
      <c r="A68" s="4" t="s">
        <v>111</v>
      </c>
      <c r="B68" s="4" cm="1">
        <f t="array" ref="B68">IFERROR(_xlfn.TEXTJOIN(", ",TRUE,_xlfn.UNIQUE(_xlfn.FILTER(_xlfn.VSTACK('Без этажа'!B3:B1000),(_xlfn.VSTACK('Без этажа'!K3:K1000)=A68)+(_xlfn.VSTACK('Без этажа'!L3:L1000)=A68)))),"Не найдено")</f>
        <v>0</v>
      </c>
      <c r="C68" s="6" cm="1">
        <f t="array" ref="C68">IFERROR(SUM(_xlfn.FILTER(_xlfn.VSTACK('Без этажа'!I3:I1000),(_xlfn.VSTACK('Без этажа'!K3:K1000)=A68)+(_xlfn.VSTACK('Без этажа'!L3:L1000)=A68)))+SUM(_xlfn.FILTER(_xlfn.VSTACK('Без этажа'!J3:J1000),(_xlfn.VSTACK('Без этажа'!K3:K1000)=A68)+(_xlfn.VSTACK('Без этажа'!L3:L1000)=A68))),0)</f>
        <v>0</v>
      </c>
      <c r="D68" s="6">
        <f>C68*1.1</f>
        <v>0</v>
      </c>
      <c r="E68" s="6" cm="1">
        <f t="array" ref="E68">IFERROR(SUM(_xlfn.FILTER((_xlfn.VSTACK('Без этажа'!D3:D1000)*1.005*((_xlfn.VSTACK('Без этажа'!D3:D1000))-(-32))*1.2/3600),(_xlfn.VSTACK('Без этажа'!K3:K1000)=A68)+(_xlfn.VSTACK('Без этажа'!L3:L1000)=A68))),0)</f>
        <v>0</v>
      </c>
      <c r="F68" s="4"/>
      <c r="G68" s="4"/>
      <c r="H68" s="4"/>
      <c r="I68" s="4"/>
      <c r="J68" s="4"/>
      <c r="K68" s="4"/>
      <c r="L68" s="6">
        <f>J68+K68</f>
        <v>0</v>
      </c>
      <c r="M68" s="4"/>
      <c r="N68" s="4"/>
      <c r="O68" s="4"/>
    </row>
    <row r="69" spans="1:15">
      <c r="A69" s="4" t="s">
        <v>111</v>
      </c>
      <c r="B69" s="4" cm="1">
        <f t="array" ref="B69">IFERROR(_xlfn.TEXTJOIN(", ",TRUE,_xlfn.UNIQUE(_xlfn.FILTER(_xlfn.VSTACK('Без этажа'!B3:B1000),(_xlfn.VSTACK('Без этажа'!K3:K1000)=A69)+(_xlfn.VSTACK('Без этажа'!L3:L1000)=A69)))),"Не найдено")</f>
        <v>0</v>
      </c>
      <c r="C69" s="6" cm="1">
        <f t="array" ref="C69">IFERROR(SUM(_xlfn.FILTER(_xlfn.VSTACK('Без этажа'!I3:I1000),(_xlfn.VSTACK('Без этажа'!K3:K1000)=A69)+(_xlfn.VSTACK('Без этажа'!L3:L1000)=A69)))+SUM(_xlfn.FILTER(_xlfn.VSTACK('Без этажа'!J3:J1000),(_xlfn.VSTACK('Без этажа'!K3:K1000)=A69)+(_xlfn.VSTACK('Без этажа'!L3:L1000)=A69))),0)</f>
        <v>0</v>
      </c>
      <c r="D69" s="6">
        <f>C69*1.1</f>
        <v>0</v>
      </c>
      <c r="E69" s="6" cm="1">
        <f t="array" ref="E69">IFERROR(SUM(_xlfn.FILTER((_xlfn.VSTACK('Без этажа'!D3:D1000)*1.005*((_xlfn.VSTACK('Без этажа'!D3:D1000))-(-32))*1.2/3600),(_xlfn.VSTACK('Без этажа'!K3:K1000)=A69)+(_xlfn.VSTACK('Без этажа'!L3:L1000)=A69))),0)</f>
        <v>0</v>
      </c>
      <c r="F69" s="4"/>
      <c r="G69" s="4"/>
      <c r="H69" s="4"/>
      <c r="I69" s="4"/>
      <c r="J69" s="4"/>
      <c r="K69" s="4"/>
      <c r="L69" s="6">
        <f>J69+K69</f>
        <v>0</v>
      </c>
      <c r="M69" s="4"/>
      <c r="N69" s="4"/>
      <c r="O69" s="4"/>
    </row>
    <row r="70" spans="1:15">
      <c r="A70" s="4" t="s">
        <v>111</v>
      </c>
      <c r="B70" s="4" cm="1">
        <f t="array" ref="B70">IFERROR(_xlfn.TEXTJOIN(", ",TRUE,_xlfn.UNIQUE(_xlfn.FILTER(_xlfn.VSTACK('Без этажа'!B3:B1000),(_xlfn.VSTACK('Без этажа'!K3:K1000)=A70)+(_xlfn.VSTACK('Без этажа'!L3:L1000)=A70)))),"Не найдено")</f>
        <v>0</v>
      </c>
      <c r="C70" s="6" cm="1">
        <f t="array" ref="C70">IFERROR(SUM(_xlfn.FILTER(_xlfn.VSTACK('Без этажа'!I3:I1000),(_xlfn.VSTACK('Без этажа'!K3:K1000)=A70)+(_xlfn.VSTACK('Без этажа'!L3:L1000)=A70)))+SUM(_xlfn.FILTER(_xlfn.VSTACK('Без этажа'!J3:J1000),(_xlfn.VSTACK('Без этажа'!K3:K1000)=A70)+(_xlfn.VSTACK('Без этажа'!L3:L1000)=A70))),0)</f>
        <v>0</v>
      </c>
      <c r="D70" s="6">
        <f>C70*1.1</f>
        <v>0</v>
      </c>
      <c r="E70" s="6" cm="1">
        <f t="array" ref="E70">IFERROR(SUM(_xlfn.FILTER((_xlfn.VSTACK('Без этажа'!D3:D1000)*1.005*((_xlfn.VSTACK('Без этажа'!D3:D1000))-(-32))*1.2/3600),(_xlfn.VSTACK('Без этажа'!K3:K1000)=A70)+(_xlfn.VSTACK('Без этажа'!L3:L1000)=A70))),0)</f>
        <v>0</v>
      </c>
      <c r="F70" s="4"/>
      <c r="G70" s="4"/>
      <c r="H70" s="4"/>
      <c r="I70" s="4"/>
      <c r="J70" s="4"/>
      <c r="K70" s="4"/>
      <c r="L70" s="6">
        <f>J70+K70</f>
        <v>0</v>
      </c>
      <c r="M70" s="4"/>
      <c r="N70" s="4"/>
      <c r="O70" s="4"/>
    </row>
    <row r="71" spans="1:15">
      <c r="A71" s="4" t="s">
        <v>111</v>
      </c>
      <c r="B71" s="4" cm="1">
        <f t="array" ref="B71">IFERROR(_xlfn.TEXTJOIN(", ",TRUE,_xlfn.UNIQUE(_xlfn.FILTER(_xlfn.VSTACK('Без этажа'!B3:B1000),(_xlfn.VSTACK('Без этажа'!K3:K1000)=A71)+(_xlfn.VSTACK('Без этажа'!L3:L1000)=A71)))),"Не найдено")</f>
        <v>0</v>
      </c>
      <c r="C71" s="6" cm="1">
        <f t="array" ref="C71">IFERROR(SUM(_xlfn.FILTER(_xlfn.VSTACK('Без этажа'!I3:I1000),(_xlfn.VSTACK('Без этажа'!K3:K1000)=A71)+(_xlfn.VSTACK('Без этажа'!L3:L1000)=A71)))+SUM(_xlfn.FILTER(_xlfn.VSTACK('Без этажа'!J3:J1000),(_xlfn.VSTACK('Без этажа'!K3:K1000)=A71)+(_xlfn.VSTACK('Без этажа'!L3:L1000)=A71))),0)</f>
        <v>0</v>
      </c>
      <c r="D71" s="6">
        <f>C71*1.1</f>
        <v>0</v>
      </c>
      <c r="E71" s="6" cm="1">
        <f t="array" ref="E71">IFERROR(SUM(_xlfn.FILTER((_xlfn.VSTACK('Без этажа'!D3:D1000)*1.005*((_xlfn.VSTACK('Без этажа'!D3:D1000))-(-32))*1.2/3600),(_xlfn.VSTACK('Без этажа'!K3:K1000)=A71)+(_xlfn.VSTACK('Без этажа'!L3:L1000)=A71))),0)</f>
        <v>0</v>
      </c>
      <c r="F71" s="4"/>
      <c r="G71" s="4"/>
      <c r="H71" s="4"/>
      <c r="I71" s="4"/>
      <c r="J71" s="4"/>
      <c r="K71" s="4"/>
      <c r="L71" s="6">
        <f>J71+K71</f>
        <v>0</v>
      </c>
      <c r="M71" s="4"/>
      <c r="N71" s="4"/>
      <c r="O71" s="4"/>
    </row>
    <row r="72" spans="1:15">
      <c r="A72" s="4" t="s">
        <v>111</v>
      </c>
      <c r="B72" s="4" cm="1">
        <f t="array" ref="B72">IFERROR(_xlfn.TEXTJOIN(", ",TRUE,_xlfn.UNIQUE(_xlfn.FILTER(_xlfn.VSTACK('Без этажа'!B3:B1000),(_xlfn.VSTACK('Без этажа'!K3:K1000)=A72)+(_xlfn.VSTACK('Без этажа'!L3:L1000)=A72)))),"Не найдено")</f>
        <v>0</v>
      </c>
      <c r="C72" s="6" cm="1">
        <f t="array" ref="C72">IFERROR(SUM(_xlfn.FILTER(_xlfn.VSTACK('Без этажа'!I3:I1000),(_xlfn.VSTACK('Без этажа'!K3:K1000)=A72)+(_xlfn.VSTACK('Без этажа'!L3:L1000)=A72)))+SUM(_xlfn.FILTER(_xlfn.VSTACK('Без этажа'!J3:J1000),(_xlfn.VSTACK('Без этажа'!K3:K1000)=A72)+(_xlfn.VSTACK('Без этажа'!L3:L1000)=A72))),0)</f>
        <v>0</v>
      </c>
      <c r="D72" s="6">
        <f>C72*1.1</f>
        <v>0</v>
      </c>
      <c r="E72" s="6" cm="1">
        <f t="array" ref="E72">IFERROR(SUM(_xlfn.FILTER((_xlfn.VSTACK('Без этажа'!D3:D1000)*1.005*((_xlfn.VSTACK('Без этажа'!D3:D1000))-(-32))*1.2/3600),(_xlfn.VSTACK('Без этажа'!K3:K1000)=A72)+(_xlfn.VSTACK('Без этажа'!L3:L1000)=A72))),0)</f>
        <v>0</v>
      </c>
      <c r="F72" s="4"/>
      <c r="G72" s="4"/>
      <c r="H72" s="4"/>
      <c r="I72" s="4"/>
      <c r="J72" s="4"/>
      <c r="K72" s="4"/>
      <c r="L72" s="6">
        <f>J72+K72</f>
        <v>0</v>
      </c>
      <c r="M72" s="4"/>
      <c r="N72" s="4"/>
      <c r="O72" s="4"/>
    </row>
    <row r="73" spans="1:15">
      <c r="A73" s="4" t="s">
        <v>111</v>
      </c>
      <c r="B73" s="4" cm="1">
        <f t="array" ref="B73">IFERROR(_xlfn.TEXTJOIN(", ",TRUE,_xlfn.UNIQUE(_xlfn.FILTER(_xlfn.VSTACK('Без этажа'!B3:B1000),(_xlfn.VSTACK('Без этажа'!K3:K1000)=A73)+(_xlfn.VSTACK('Без этажа'!L3:L1000)=A73)))),"Не найдено")</f>
        <v>0</v>
      </c>
      <c r="C73" s="6" cm="1">
        <f t="array" ref="C73">IFERROR(SUM(_xlfn.FILTER(_xlfn.VSTACK('Без этажа'!I3:I1000),(_xlfn.VSTACK('Без этажа'!K3:K1000)=A73)+(_xlfn.VSTACK('Без этажа'!L3:L1000)=A73)))+SUM(_xlfn.FILTER(_xlfn.VSTACK('Без этажа'!J3:J1000),(_xlfn.VSTACK('Без этажа'!K3:K1000)=A73)+(_xlfn.VSTACK('Без этажа'!L3:L1000)=A73))),0)</f>
        <v>0</v>
      </c>
      <c r="D73" s="6">
        <f>C73*1.1</f>
        <v>0</v>
      </c>
      <c r="E73" s="6" cm="1">
        <f t="array" ref="E73">IFERROR(SUM(_xlfn.FILTER((_xlfn.VSTACK('Без этажа'!D3:D1000)*1.005*((_xlfn.VSTACK('Без этажа'!D3:D1000))-(-32))*1.2/3600),(_xlfn.VSTACK('Без этажа'!K3:K1000)=A73)+(_xlfn.VSTACK('Без этажа'!L3:L1000)=A73))),0)</f>
        <v>0</v>
      </c>
      <c r="F73" s="4"/>
      <c r="G73" s="4"/>
      <c r="H73" s="4"/>
      <c r="I73" s="4"/>
      <c r="J73" s="4"/>
      <c r="K73" s="4"/>
      <c r="L73" s="6">
        <f>J73+K73</f>
        <v>0</v>
      </c>
      <c r="M73" s="4"/>
      <c r="N73" s="4"/>
      <c r="O73" s="4"/>
    </row>
    <row r="74" spans="1:15">
      <c r="A74" s="4" t="s">
        <v>111</v>
      </c>
      <c r="B74" s="4" cm="1">
        <f t="array" ref="B74">IFERROR(_xlfn.TEXTJOIN(", ",TRUE,_xlfn.UNIQUE(_xlfn.FILTER(_xlfn.VSTACK('Без этажа'!B3:B1000),(_xlfn.VSTACK('Без этажа'!K3:K1000)=A74)+(_xlfn.VSTACK('Без этажа'!L3:L1000)=A74)))),"Не найдено")</f>
        <v>0</v>
      </c>
      <c r="C74" s="6" cm="1">
        <f t="array" ref="C74">IFERROR(SUM(_xlfn.FILTER(_xlfn.VSTACK('Без этажа'!I3:I1000),(_xlfn.VSTACK('Без этажа'!K3:K1000)=A74)+(_xlfn.VSTACK('Без этажа'!L3:L1000)=A74)))+SUM(_xlfn.FILTER(_xlfn.VSTACK('Без этажа'!J3:J1000),(_xlfn.VSTACK('Без этажа'!K3:K1000)=A74)+(_xlfn.VSTACK('Без этажа'!L3:L1000)=A74))),0)</f>
        <v>0</v>
      </c>
      <c r="D74" s="6">
        <f>C74*1.1</f>
        <v>0</v>
      </c>
      <c r="E74" s="6" cm="1">
        <f t="array" ref="E74">IFERROR(SUM(_xlfn.FILTER((_xlfn.VSTACK('Без этажа'!D3:D1000)*1.005*((_xlfn.VSTACK('Без этажа'!D3:D1000))-(-32))*1.2/3600),(_xlfn.VSTACK('Без этажа'!K3:K1000)=A74)+(_xlfn.VSTACK('Без этажа'!L3:L1000)=A74))),0)</f>
        <v>0</v>
      </c>
      <c r="F74" s="4"/>
      <c r="G74" s="4"/>
      <c r="H74" s="4"/>
      <c r="I74" s="4"/>
      <c r="J74" s="4"/>
      <c r="K74" s="4"/>
      <c r="L74" s="6">
        <f>J74+K74</f>
        <v>0</v>
      </c>
      <c r="M74" s="4"/>
      <c r="N74" s="4"/>
      <c r="O74" s="4"/>
    </row>
    <row r="75" spans="1:15">
      <c r="A75" s="4" t="s">
        <v>111</v>
      </c>
      <c r="B75" s="4" cm="1">
        <f t="array" ref="B75">IFERROR(_xlfn.TEXTJOIN(", ",TRUE,_xlfn.UNIQUE(_xlfn.FILTER(_xlfn.VSTACK('Без этажа'!B3:B1000),(_xlfn.VSTACK('Без этажа'!K3:K1000)=A75)+(_xlfn.VSTACK('Без этажа'!L3:L1000)=A75)))),"Не найдено")</f>
        <v>0</v>
      </c>
      <c r="C75" s="6" cm="1">
        <f t="array" ref="C75">IFERROR(SUM(_xlfn.FILTER(_xlfn.VSTACK('Без этажа'!I3:I1000),(_xlfn.VSTACK('Без этажа'!K3:K1000)=A75)+(_xlfn.VSTACK('Без этажа'!L3:L1000)=A75)))+SUM(_xlfn.FILTER(_xlfn.VSTACK('Без этажа'!J3:J1000),(_xlfn.VSTACK('Без этажа'!K3:K1000)=A75)+(_xlfn.VSTACK('Без этажа'!L3:L1000)=A75))),0)</f>
        <v>0</v>
      </c>
      <c r="D75" s="6">
        <f>C75*1.1</f>
        <v>0</v>
      </c>
      <c r="E75" s="6" cm="1">
        <f t="array" ref="E75">IFERROR(SUM(_xlfn.FILTER((_xlfn.VSTACK('Без этажа'!D3:D1000)*1.005*((_xlfn.VSTACK('Без этажа'!D3:D1000))-(-32))*1.2/3600),(_xlfn.VSTACK('Без этажа'!K3:K1000)=A75)+(_xlfn.VSTACK('Без этажа'!L3:L1000)=A75))),0)</f>
        <v>0</v>
      </c>
      <c r="F75" s="4"/>
      <c r="G75" s="4"/>
      <c r="H75" s="4"/>
      <c r="I75" s="4"/>
      <c r="J75" s="4"/>
      <c r="K75" s="4"/>
      <c r="L75" s="6">
        <f>J75+K75</f>
        <v>0</v>
      </c>
      <c r="M75" s="4"/>
      <c r="N75" s="4"/>
      <c r="O75" s="4"/>
    </row>
    <row r="76" spans="1:15">
      <c r="A76" s="4" t="s">
        <v>111</v>
      </c>
      <c r="B76" s="4" cm="1">
        <f t="array" ref="B76">IFERROR(_xlfn.TEXTJOIN(", ",TRUE,_xlfn.UNIQUE(_xlfn.FILTER(_xlfn.VSTACK('Без этажа'!B3:B1000),(_xlfn.VSTACK('Без этажа'!K3:K1000)=A76)+(_xlfn.VSTACK('Без этажа'!L3:L1000)=A76)))),"Не найдено")</f>
        <v>0</v>
      </c>
      <c r="C76" s="6" cm="1">
        <f t="array" ref="C76">IFERROR(SUM(_xlfn.FILTER(_xlfn.VSTACK('Без этажа'!I3:I1000),(_xlfn.VSTACK('Без этажа'!K3:K1000)=A76)+(_xlfn.VSTACK('Без этажа'!L3:L1000)=A76)))+SUM(_xlfn.FILTER(_xlfn.VSTACK('Без этажа'!J3:J1000),(_xlfn.VSTACK('Без этажа'!K3:K1000)=A76)+(_xlfn.VSTACK('Без этажа'!L3:L1000)=A76))),0)</f>
        <v>0</v>
      </c>
      <c r="D76" s="6">
        <f>C76*1.1</f>
        <v>0</v>
      </c>
      <c r="E76" s="6" cm="1">
        <f t="array" ref="E76">IFERROR(SUM(_xlfn.FILTER((_xlfn.VSTACK('Без этажа'!D3:D1000)*1.005*((_xlfn.VSTACK('Без этажа'!D3:D1000))-(-32))*1.2/3600),(_xlfn.VSTACK('Без этажа'!K3:K1000)=A76)+(_xlfn.VSTACK('Без этажа'!L3:L1000)=A76))),0)</f>
        <v>0</v>
      </c>
      <c r="F76" s="4"/>
      <c r="G76" s="4"/>
      <c r="H76" s="4"/>
      <c r="I76" s="4"/>
      <c r="J76" s="4"/>
      <c r="K76" s="4"/>
      <c r="L76" s="6">
        <f>J76+K76</f>
        <v>0</v>
      </c>
      <c r="M76" s="4"/>
      <c r="N76" s="4"/>
      <c r="O76" s="4"/>
    </row>
    <row r="77" spans="1:15">
      <c r="A77" s="4" t="s">
        <v>111</v>
      </c>
      <c r="B77" s="4" cm="1">
        <f t="array" ref="B77">IFERROR(_xlfn.TEXTJOIN(", ",TRUE,_xlfn.UNIQUE(_xlfn.FILTER(_xlfn.VSTACK('Без этажа'!B3:B1000),(_xlfn.VSTACK('Без этажа'!K3:K1000)=A77)+(_xlfn.VSTACK('Без этажа'!L3:L1000)=A77)))),"Не найдено")</f>
        <v>0</v>
      </c>
      <c r="C77" s="6" cm="1">
        <f t="array" ref="C77">IFERROR(SUM(_xlfn.FILTER(_xlfn.VSTACK('Без этажа'!I3:I1000),(_xlfn.VSTACK('Без этажа'!K3:K1000)=A77)+(_xlfn.VSTACK('Без этажа'!L3:L1000)=A77)))+SUM(_xlfn.FILTER(_xlfn.VSTACK('Без этажа'!J3:J1000),(_xlfn.VSTACK('Без этажа'!K3:K1000)=A77)+(_xlfn.VSTACK('Без этажа'!L3:L1000)=A77))),0)</f>
        <v>0</v>
      </c>
      <c r="D77" s="6">
        <f>C77*1.1</f>
        <v>0</v>
      </c>
      <c r="E77" s="6" cm="1">
        <f t="array" ref="E77">IFERROR(SUM(_xlfn.FILTER((_xlfn.VSTACK('Без этажа'!D3:D1000)*1.005*((_xlfn.VSTACK('Без этажа'!D3:D1000))-(-32))*1.2/3600),(_xlfn.VSTACK('Без этажа'!K3:K1000)=A77)+(_xlfn.VSTACK('Без этажа'!L3:L1000)=A77))),0)</f>
        <v>0</v>
      </c>
      <c r="F77" s="4"/>
      <c r="G77" s="4"/>
      <c r="H77" s="4"/>
      <c r="I77" s="4"/>
      <c r="J77" s="4"/>
      <c r="K77" s="4"/>
      <c r="L77" s="6">
        <f>J77+K77</f>
        <v>0</v>
      </c>
      <c r="M77" s="4"/>
      <c r="N77" s="4"/>
      <c r="O77" s="4"/>
    </row>
    <row r="78" spans="1:15">
      <c r="A78" s="4" t="s">
        <v>111</v>
      </c>
      <c r="B78" s="4" cm="1">
        <f t="array" ref="B78">IFERROR(_xlfn.TEXTJOIN(", ",TRUE,_xlfn.UNIQUE(_xlfn.FILTER(_xlfn.VSTACK('Без этажа'!B3:B1000),(_xlfn.VSTACK('Без этажа'!K3:K1000)=A78)+(_xlfn.VSTACK('Без этажа'!L3:L1000)=A78)))),"Не найдено")</f>
        <v>0</v>
      </c>
      <c r="C78" s="6" cm="1">
        <f t="array" ref="C78">IFERROR(SUM(_xlfn.FILTER(_xlfn.VSTACK('Без этажа'!I3:I1000),(_xlfn.VSTACK('Без этажа'!K3:K1000)=A78)+(_xlfn.VSTACK('Без этажа'!L3:L1000)=A78)))+SUM(_xlfn.FILTER(_xlfn.VSTACK('Без этажа'!J3:J1000),(_xlfn.VSTACK('Без этажа'!K3:K1000)=A78)+(_xlfn.VSTACK('Без этажа'!L3:L1000)=A78))),0)</f>
        <v>0</v>
      </c>
      <c r="D78" s="6">
        <f>C78*1.1</f>
        <v>0</v>
      </c>
      <c r="E78" s="6" cm="1">
        <f t="array" ref="E78">IFERROR(SUM(_xlfn.FILTER((_xlfn.VSTACK('Без этажа'!D3:D1000)*1.005*((_xlfn.VSTACK('Без этажа'!D3:D1000))-(-32))*1.2/3600),(_xlfn.VSTACK('Без этажа'!K3:K1000)=A78)+(_xlfn.VSTACK('Без этажа'!L3:L1000)=A78))),0)</f>
        <v>0</v>
      </c>
      <c r="F78" s="4"/>
      <c r="G78" s="4"/>
      <c r="H78" s="4"/>
      <c r="I78" s="4"/>
      <c r="J78" s="4"/>
      <c r="K78" s="4"/>
      <c r="L78" s="6">
        <f>J78+K78</f>
        <v>0</v>
      </c>
      <c r="M78" s="4"/>
      <c r="N78" s="4"/>
      <c r="O78" s="4"/>
    </row>
    <row r="79" spans="1:15">
      <c r="A79" s="4" t="s">
        <v>111</v>
      </c>
      <c r="B79" s="4" cm="1">
        <f t="array" ref="B79">IFERROR(_xlfn.TEXTJOIN(", ",TRUE,_xlfn.UNIQUE(_xlfn.FILTER(_xlfn.VSTACK('Без этажа'!B3:B1000),(_xlfn.VSTACK('Без этажа'!K3:K1000)=A79)+(_xlfn.VSTACK('Без этажа'!L3:L1000)=A79)))),"Не найдено")</f>
        <v>0</v>
      </c>
      <c r="C79" s="6" cm="1">
        <f t="array" ref="C79">IFERROR(SUM(_xlfn.FILTER(_xlfn.VSTACK('Без этажа'!I3:I1000),(_xlfn.VSTACK('Без этажа'!K3:K1000)=A79)+(_xlfn.VSTACK('Без этажа'!L3:L1000)=A79)))+SUM(_xlfn.FILTER(_xlfn.VSTACK('Без этажа'!J3:J1000),(_xlfn.VSTACK('Без этажа'!K3:K1000)=A79)+(_xlfn.VSTACK('Без этажа'!L3:L1000)=A79))),0)</f>
        <v>0</v>
      </c>
      <c r="D79" s="6">
        <f>C79*1.1</f>
        <v>0</v>
      </c>
      <c r="E79" s="6" cm="1">
        <f t="array" ref="E79">IFERROR(SUM(_xlfn.FILTER((_xlfn.VSTACK('Без этажа'!D3:D1000)*1.005*((_xlfn.VSTACK('Без этажа'!D3:D1000))-(-32))*1.2/3600),(_xlfn.VSTACK('Без этажа'!K3:K1000)=A79)+(_xlfn.VSTACK('Без этажа'!L3:L1000)=A79))),0)</f>
        <v>0</v>
      </c>
      <c r="F79" s="4"/>
      <c r="G79" s="4"/>
      <c r="H79" s="4"/>
      <c r="I79" s="4"/>
      <c r="J79" s="4"/>
      <c r="K79" s="4"/>
      <c r="L79" s="6">
        <f>J79+K79</f>
        <v>0</v>
      </c>
      <c r="M79" s="4"/>
      <c r="N79" s="4"/>
      <c r="O79" s="4"/>
    </row>
    <row r="80" spans="1:15">
      <c r="A80" s="4" t="s">
        <v>111</v>
      </c>
      <c r="B80" s="4" cm="1">
        <f t="array" ref="B80">IFERROR(_xlfn.TEXTJOIN(", ",TRUE,_xlfn.UNIQUE(_xlfn.FILTER(_xlfn.VSTACK('Без этажа'!B3:B1000),(_xlfn.VSTACK('Без этажа'!K3:K1000)=A80)+(_xlfn.VSTACK('Без этажа'!L3:L1000)=A80)))),"Не найдено")</f>
        <v>0</v>
      </c>
      <c r="C80" s="6" cm="1">
        <f t="array" ref="C80">IFERROR(SUM(_xlfn.FILTER(_xlfn.VSTACK('Без этажа'!I3:I1000),(_xlfn.VSTACK('Без этажа'!K3:K1000)=A80)+(_xlfn.VSTACK('Без этажа'!L3:L1000)=A80)))+SUM(_xlfn.FILTER(_xlfn.VSTACK('Без этажа'!J3:J1000),(_xlfn.VSTACK('Без этажа'!K3:K1000)=A80)+(_xlfn.VSTACK('Без этажа'!L3:L1000)=A80))),0)</f>
        <v>0</v>
      </c>
      <c r="D80" s="6">
        <f>C80*1.1</f>
        <v>0</v>
      </c>
      <c r="E80" s="6" cm="1">
        <f t="array" ref="E80">IFERROR(SUM(_xlfn.FILTER((_xlfn.VSTACK('Без этажа'!D3:D1000)*1.005*((_xlfn.VSTACK('Без этажа'!D3:D1000))-(-32))*1.2/3600),(_xlfn.VSTACK('Без этажа'!K3:K1000)=A80)+(_xlfn.VSTACK('Без этажа'!L3:L1000)=A80))),0)</f>
        <v>0</v>
      </c>
      <c r="F80" s="4"/>
      <c r="G80" s="4"/>
      <c r="H80" s="4"/>
      <c r="I80" s="4"/>
      <c r="J80" s="4"/>
      <c r="K80" s="4"/>
      <c r="L80" s="6">
        <f>J80+K80</f>
        <v>0</v>
      </c>
      <c r="M80" s="4"/>
      <c r="N80" s="4"/>
      <c r="O80" s="4"/>
    </row>
    <row r="81" spans="1:15">
      <c r="A81" s="4" t="s">
        <v>111</v>
      </c>
      <c r="B81" s="4" cm="1">
        <f t="array" ref="B81">IFERROR(_xlfn.TEXTJOIN(", ",TRUE,_xlfn.UNIQUE(_xlfn.FILTER(_xlfn.VSTACK('Без этажа'!B3:B1000),(_xlfn.VSTACK('Без этажа'!K3:K1000)=A81)+(_xlfn.VSTACK('Без этажа'!L3:L1000)=A81)))),"Не найдено")</f>
        <v>0</v>
      </c>
      <c r="C81" s="6" cm="1">
        <f t="array" ref="C81">IFERROR(SUM(_xlfn.FILTER(_xlfn.VSTACK('Без этажа'!I3:I1000),(_xlfn.VSTACK('Без этажа'!K3:K1000)=A81)+(_xlfn.VSTACK('Без этажа'!L3:L1000)=A81)))+SUM(_xlfn.FILTER(_xlfn.VSTACK('Без этажа'!J3:J1000),(_xlfn.VSTACK('Без этажа'!K3:K1000)=A81)+(_xlfn.VSTACK('Без этажа'!L3:L1000)=A81))),0)</f>
        <v>0</v>
      </c>
      <c r="D81" s="6">
        <f>C81*1.1</f>
        <v>0</v>
      </c>
      <c r="E81" s="6" cm="1">
        <f t="array" ref="E81">IFERROR(SUM(_xlfn.FILTER((_xlfn.VSTACK('Без этажа'!D3:D1000)*1.005*((_xlfn.VSTACK('Без этажа'!D3:D1000))-(-32))*1.2/3600),(_xlfn.VSTACK('Без этажа'!K3:K1000)=A81)+(_xlfn.VSTACK('Без этажа'!L3:L1000)=A81))),0)</f>
        <v>0</v>
      </c>
      <c r="F81" s="4"/>
      <c r="G81" s="4"/>
      <c r="H81" s="4"/>
      <c r="I81" s="4"/>
      <c r="J81" s="4"/>
      <c r="K81" s="4"/>
      <c r="L81" s="6">
        <f>J81+K81</f>
        <v>0</v>
      </c>
      <c r="M81" s="4"/>
      <c r="N81" s="4"/>
      <c r="O81" s="4"/>
    </row>
    <row r="82" spans="1:15">
      <c r="A82" s="4" t="s">
        <v>111</v>
      </c>
      <c r="B82" s="4" cm="1">
        <f t="array" ref="B82">IFERROR(_xlfn.TEXTJOIN(", ",TRUE,_xlfn.UNIQUE(_xlfn.FILTER(_xlfn.VSTACK('Без этажа'!B3:B1000),(_xlfn.VSTACK('Без этажа'!K3:K1000)=A82)+(_xlfn.VSTACK('Без этажа'!L3:L1000)=A82)))),"Не найдено")</f>
        <v>0</v>
      </c>
      <c r="C82" s="6" cm="1">
        <f t="array" ref="C82">IFERROR(SUM(_xlfn.FILTER(_xlfn.VSTACK('Без этажа'!I3:I1000),(_xlfn.VSTACK('Без этажа'!K3:K1000)=A82)+(_xlfn.VSTACK('Без этажа'!L3:L1000)=A82)))+SUM(_xlfn.FILTER(_xlfn.VSTACK('Без этажа'!J3:J1000),(_xlfn.VSTACK('Без этажа'!K3:K1000)=A82)+(_xlfn.VSTACK('Без этажа'!L3:L1000)=A82))),0)</f>
        <v>0</v>
      </c>
      <c r="D82" s="6">
        <f>C82*1.1</f>
        <v>0</v>
      </c>
      <c r="E82" s="6" cm="1">
        <f t="array" ref="E82">IFERROR(SUM(_xlfn.FILTER((_xlfn.VSTACK('Без этажа'!D3:D1000)*1.005*((_xlfn.VSTACK('Без этажа'!D3:D1000))-(-32))*1.2/3600),(_xlfn.VSTACK('Без этажа'!K3:K1000)=A82)+(_xlfn.VSTACK('Без этажа'!L3:L1000)=A82))),0)</f>
        <v>0</v>
      </c>
      <c r="F82" s="4"/>
      <c r="G82" s="4"/>
      <c r="H82" s="4"/>
      <c r="I82" s="4"/>
      <c r="J82" s="4"/>
      <c r="K82" s="4"/>
      <c r="L82" s="6">
        <f>J82+K82</f>
        <v>0</v>
      </c>
      <c r="M82" s="4"/>
      <c r="N82" s="4"/>
      <c r="O82" s="4"/>
    </row>
    <row r="83" spans="1:15">
      <c r="A83" s="4" t="s">
        <v>111</v>
      </c>
      <c r="B83" s="4" cm="1">
        <f t="array" ref="B83">IFERROR(_xlfn.TEXTJOIN(", ",TRUE,_xlfn.UNIQUE(_xlfn.FILTER(_xlfn.VSTACK('Без этажа'!B3:B1000),(_xlfn.VSTACK('Без этажа'!K3:K1000)=A83)+(_xlfn.VSTACK('Без этажа'!L3:L1000)=A83)))),"Не найдено")</f>
        <v>0</v>
      </c>
      <c r="C83" s="6" cm="1">
        <f t="array" ref="C83">IFERROR(SUM(_xlfn.FILTER(_xlfn.VSTACK('Без этажа'!I3:I1000),(_xlfn.VSTACK('Без этажа'!K3:K1000)=A83)+(_xlfn.VSTACK('Без этажа'!L3:L1000)=A83)))+SUM(_xlfn.FILTER(_xlfn.VSTACK('Без этажа'!J3:J1000),(_xlfn.VSTACK('Без этажа'!K3:K1000)=A83)+(_xlfn.VSTACK('Без этажа'!L3:L1000)=A83))),0)</f>
        <v>0</v>
      </c>
      <c r="D83" s="6">
        <f>C83*1.1</f>
        <v>0</v>
      </c>
      <c r="E83" s="6" cm="1">
        <f t="array" ref="E83">IFERROR(SUM(_xlfn.FILTER((_xlfn.VSTACK('Без этажа'!D3:D1000)*1.005*((_xlfn.VSTACK('Без этажа'!D3:D1000))-(-32))*1.2/3600),(_xlfn.VSTACK('Без этажа'!K3:K1000)=A83)+(_xlfn.VSTACK('Без этажа'!L3:L1000)=A83))),0)</f>
        <v>0</v>
      </c>
      <c r="F83" s="4"/>
      <c r="G83" s="4"/>
      <c r="H83" s="4"/>
      <c r="I83" s="4"/>
      <c r="J83" s="4"/>
      <c r="K83" s="4"/>
      <c r="L83" s="6">
        <f>J83+K83</f>
        <v>0</v>
      </c>
      <c r="M83" s="4"/>
      <c r="N83" s="4"/>
      <c r="O83" s="4"/>
    </row>
    <row r="84" spans="1:15">
      <c r="A84" s="4" t="s">
        <v>111</v>
      </c>
      <c r="B84" s="4" cm="1">
        <f t="array" ref="B84">IFERROR(_xlfn.TEXTJOIN(", ",TRUE,_xlfn.UNIQUE(_xlfn.FILTER(_xlfn.VSTACK('Без этажа'!B3:B1000),(_xlfn.VSTACK('Без этажа'!K3:K1000)=A84)+(_xlfn.VSTACK('Без этажа'!L3:L1000)=A84)))),"Не найдено")</f>
        <v>0</v>
      </c>
      <c r="C84" s="6" cm="1">
        <f t="array" ref="C84">IFERROR(SUM(_xlfn.FILTER(_xlfn.VSTACK('Без этажа'!I3:I1000),(_xlfn.VSTACK('Без этажа'!K3:K1000)=A84)+(_xlfn.VSTACK('Без этажа'!L3:L1000)=A84)))+SUM(_xlfn.FILTER(_xlfn.VSTACK('Без этажа'!J3:J1000),(_xlfn.VSTACK('Без этажа'!K3:K1000)=A84)+(_xlfn.VSTACK('Без этажа'!L3:L1000)=A84))),0)</f>
        <v>0</v>
      </c>
      <c r="D84" s="6">
        <f>C84*1.1</f>
        <v>0</v>
      </c>
      <c r="E84" s="6" cm="1">
        <f t="array" ref="E84">IFERROR(SUM(_xlfn.FILTER((_xlfn.VSTACK('Без этажа'!D3:D1000)*1.005*((_xlfn.VSTACK('Без этажа'!D3:D1000))-(-32))*1.2/3600),(_xlfn.VSTACK('Без этажа'!K3:K1000)=A84)+(_xlfn.VSTACK('Без этажа'!L3:L1000)=A84))),0)</f>
        <v>0</v>
      </c>
      <c r="F84" s="4"/>
      <c r="G84" s="4"/>
      <c r="H84" s="4"/>
      <c r="I84" s="4"/>
      <c r="J84" s="4"/>
      <c r="K84" s="4"/>
      <c r="L84" s="6">
        <f>J84+K84</f>
        <v>0</v>
      </c>
      <c r="M84" s="4"/>
      <c r="N84" s="4"/>
      <c r="O84" s="4"/>
    </row>
    <row r="85" spans="1:15">
      <c r="A85" s="4" t="s">
        <v>111</v>
      </c>
      <c r="B85" s="4" cm="1">
        <f t="array" ref="B85">IFERROR(_xlfn.TEXTJOIN(", ",TRUE,_xlfn.UNIQUE(_xlfn.FILTER(_xlfn.VSTACK('Без этажа'!B3:B1000),(_xlfn.VSTACK('Без этажа'!K3:K1000)=A85)+(_xlfn.VSTACK('Без этажа'!L3:L1000)=A85)))),"Не найдено")</f>
        <v>0</v>
      </c>
      <c r="C85" s="6" cm="1">
        <f t="array" ref="C85">IFERROR(SUM(_xlfn.FILTER(_xlfn.VSTACK('Без этажа'!I3:I1000),(_xlfn.VSTACK('Без этажа'!K3:K1000)=A85)+(_xlfn.VSTACK('Без этажа'!L3:L1000)=A85)))+SUM(_xlfn.FILTER(_xlfn.VSTACK('Без этажа'!J3:J1000),(_xlfn.VSTACK('Без этажа'!K3:K1000)=A85)+(_xlfn.VSTACK('Без этажа'!L3:L1000)=A85))),0)</f>
        <v>0</v>
      </c>
      <c r="D85" s="6">
        <f>C85*1.1</f>
        <v>0</v>
      </c>
      <c r="E85" s="6" cm="1">
        <f t="array" ref="E85">IFERROR(SUM(_xlfn.FILTER((_xlfn.VSTACK('Без этажа'!D3:D1000)*1.005*((_xlfn.VSTACK('Без этажа'!D3:D1000))-(-32))*1.2/3600),(_xlfn.VSTACK('Без этажа'!K3:K1000)=A85)+(_xlfn.VSTACK('Без этажа'!L3:L1000)=A85))),0)</f>
        <v>0</v>
      </c>
      <c r="F85" s="4"/>
      <c r="G85" s="4"/>
      <c r="H85" s="4"/>
      <c r="I85" s="4"/>
      <c r="J85" s="4"/>
      <c r="K85" s="4"/>
      <c r="L85" s="6">
        <f>J85+K85</f>
        <v>0</v>
      </c>
      <c r="M85" s="4"/>
      <c r="N85" s="4"/>
      <c r="O85" s="4"/>
    </row>
    <row r="86" spans="1:15">
      <c r="A86" s="4" t="s">
        <v>111</v>
      </c>
      <c r="B86" s="4" cm="1">
        <f t="array" ref="B86">IFERROR(_xlfn.TEXTJOIN(", ",TRUE,_xlfn.UNIQUE(_xlfn.FILTER(_xlfn.VSTACK('Без этажа'!B3:B1000),(_xlfn.VSTACK('Без этажа'!K3:K1000)=A86)+(_xlfn.VSTACK('Без этажа'!L3:L1000)=A86)))),"Не найдено")</f>
        <v>0</v>
      </c>
      <c r="C86" s="6" cm="1">
        <f t="array" ref="C86">IFERROR(SUM(_xlfn.FILTER(_xlfn.VSTACK('Без этажа'!I3:I1000),(_xlfn.VSTACK('Без этажа'!K3:K1000)=A86)+(_xlfn.VSTACK('Без этажа'!L3:L1000)=A86)))+SUM(_xlfn.FILTER(_xlfn.VSTACK('Без этажа'!J3:J1000),(_xlfn.VSTACK('Без этажа'!K3:K1000)=A86)+(_xlfn.VSTACK('Без этажа'!L3:L1000)=A86))),0)</f>
        <v>0</v>
      </c>
      <c r="D86" s="6">
        <f>C86*1.1</f>
        <v>0</v>
      </c>
      <c r="E86" s="6" cm="1">
        <f t="array" ref="E86">IFERROR(SUM(_xlfn.FILTER((_xlfn.VSTACK('Без этажа'!D3:D1000)*1.005*((_xlfn.VSTACK('Без этажа'!D3:D1000))-(-32))*1.2/3600),(_xlfn.VSTACK('Без этажа'!K3:K1000)=A86)+(_xlfn.VSTACK('Без этажа'!L3:L1000)=A86))),0)</f>
        <v>0</v>
      </c>
      <c r="F86" s="4"/>
      <c r="G86" s="4"/>
      <c r="H86" s="4"/>
      <c r="I86" s="4"/>
      <c r="J86" s="4"/>
      <c r="K86" s="4"/>
      <c r="L86" s="6">
        <f>J86+K86</f>
        <v>0</v>
      </c>
      <c r="M86" s="4"/>
      <c r="N86" s="4"/>
      <c r="O86" s="4"/>
    </row>
    <row r="87" spans="1:15">
      <c r="A87" s="4" t="s">
        <v>111</v>
      </c>
      <c r="B87" s="4" cm="1">
        <f t="array" ref="B87">IFERROR(_xlfn.TEXTJOIN(", ",TRUE,_xlfn.UNIQUE(_xlfn.FILTER(_xlfn.VSTACK('Без этажа'!B3:B1000),(_xlfn.VSTACK('Без этажа'!K3:K1000)=A87)+(_xlfn.VSTACK('Без этажа'!L3:L1000)=A87)))),"Не найдено")</f>
        <v>0</v>
      </c>
      <c r="C87" s="6" cm="1">
        <f t="array" ref="C87">IFERROR(SUM(_xlfn.FILTER(_xlfn.VSTACK('Без этажа'!I3:I1000),(_xlfn.VSTACK('Без этажа'!K3:K1000)=A87)+(_xlfn.VSTACK('Без этажа'!L3:L1000)=A87)))+SUM(_xlfn.FILTER(_xlfn.VSTACK('Без этажа'!J3:J1000),(_xlfn.VSTACK('Без этажа'!K3:K1000)=A87)+(_xlfn.VSTACK('Без этажа'!L3:L1000)=A87))),0)</f>
        <v>0</v>
      </c>
      <c r="D87" s="6">
        <f>C87*1.1</f>
        <v>0</v>
      </c>
      <c r="E87" s="6" cm="1">
        <f t="array" ref="E87">IFERROR(SUM(_xlfn.FILTER((_xlfn.VSTACK('Без этажа'!D3:D1000)*1.005*((_xlfn.VSTACK('Без этажа'!D3:D1000))-(-32))*1.2/3600),(_xlfn.VSTACK('Без этажа'!K3:K1000)=A87)+(_xlfn.VSTACK('Без этажа'!L3:L1000)=A87))),0)</f>
        <v>0</v>
      </c>
      <c r="F87" s="4"/>
      <c r="G87" s="4"/>
      <c r="H87" s="4"/>
      <c r="I87" s="4"/>
      <c r="J87" s="4"/>
      <c r="K87" s="4"/>
      <c r="L87" s="6">
        <f>J87+K87</f>
        <v>0</v>
      </c>
      <c r="M87" s="4"/>
      <c r="N87" s="4"/>
      <c r="O87" s="4"/>
    </row>
    <row r="88" spans="1:15">
      <c r="A88" s="4" t="s">
        <v>111</v>
      </c>
      <c r="B88" s="4" cm="1">
        <f t="array" ref="B88">IFERROR(_xlfn.TEXTJOIN(", ",TRUE,_xlfn.UNIQUE(_xlfn.FILTER(_xlfn.VSTACK('Без этажа'!B3:B1000),(_xlfn.VSTACK('Без этажа'!K3:K1000)=A88)+(_xlfn.VSTACK('Без этажа'!L3:L1000)=A88)))),"Не найдено")</f>
        <v>0</v>
      </c>
      <c r="C88" s="6" cm="1">
        <f t="array" ref="C88">IFERROR(SUM(_xlfn.FILTER(_xlfn.VSTACK('Без этажа'!I3:I1000),(_xlfn.VSTACK('Без этажа'!K3:K1000)=A88)+(_xlfn.VSTACK('Без этажа'!L3:L1000)=A88)))+SUM(_xlfn.FILTER(_xlfn.VSTACK('Без этажа'!J3:J1000),(_xlfn.VSTACK('Без этажа'!K3:K1000)=A88)+(_xlfn.VSTACK('Без этажа'!L3:L1000)=A88))),0)</f>
        <v>0</v>
      </c>
      <c r="D88" s="6">
        <f>C88*1.1</f>
        <v>0</v>
      </c>
      <c r="E88" s="6" cm="1">
        <f t="array" ref="E88">IFERROR(SUM(_xlfn.FILTER((_xlfn.VSTACK('Без этажа'!D3:D1000)*1.005*((_xlfn.VSTACK('Без этажа'!D3:D1000))-(-32))*1.2/3600),(_xlfn.VSTACK('Без этажа'!K3:K1000)=A88)+(_xlfn.VSTACK('Без этажа'!L3:L1000)=A88))),0)</f>
        <v>0</v>
      </c>
      <c r="F88" s="4"/>
      <c r="G88" s="4"/>
      <c r="H88" s="4"/>
      <c r="I88" s="4"/>
      <c r="J88" s="4"/>
      <c r="K88" s="4"/>
      <c r="L88" s="6">
        <f>J88+K88</f>
        <v>0</v>
      </c>
      <c r="M88" s="4"/>
      <c r="N88" s="4"/>
      <c r="O88" s="4"/>
    </row>
    <row r="89" spans="1:15">
      <c r="A89" s="4" t="s">
        <v>111</v>
      </c>
      <c r="B89" s="4" cm="1">
        <f t="array" ref="B89">IFERROR(_xlfn.TEXTJOIN(", ",TRUE,_xlfn.UNIQUE(_xlfn.FILTER(_xlfn.VSTACK('Без этажа'!B3:B1000),(_xlfn.VSTACK('Без этажа'!K3:K1000)=A89)+(_xlfn.VSTACK('Без этажа'!L3:L1000)=A89)))),"Не найдено")</f>
        <v>0</v>
      </c>
      <c r="C89" s="6" cm="1">
        <f t="array" ref="C89">IFERROR(SUM(_xlfn.FILTER(_xlfn.VSTACK('Без этажа'!I3:I1000),(_xlfn.VSTACK('Без этажа'!K3:K1000)=A89)+(_xlfn.VSTACK('Без этажа'!L3:L1000)=A89)))+SUM(_xlfn.FILTER(_xlfn.VSTACK('Без этажа'!J3:J1000),(_xlfn.VSTACK('Без этажа'!K3:K1000)=A89)+(_xlfn.VSTACK('Без этажа'!L3:L1000)=A89))),0)</f>
        <v>0</v>
      </c>
      <c r="D89" s="6">
        <f>C89*1.1</f>
        <v>0</v>
      </c>
      <c r="E89" s="6" cm="1">
        <f t="array" ref="E89">IFERROR(SUM(_xlfn.FILTER((_xlfn.VSTACK('Без этажа'!D3:D1000)*1.005*((_xlfn.VSTACK('Без этажа'!D3:D1000))-(-32))*1.2/3600),(_xlfn.VSTACK('Без этажа'!K3:K1000)=A89)+(_xlfn.VSTACK('Без этажа'!L3:L1000)=A89))),0)</f>
        <v>0</v>
      </c>
      <c r="F89" s="4"/>
      <c r="G89" s="4"/>
      <c r="H89" s="4"/>
      <c r="I89" s="4"/>
      <c r="J89" s="4"/>
      <c r="K89" s="4"/>
      <c r="L89" s="6">
        <f>J89+K89</f>
        <v>0</v>
      </c>
      <c r="M89" s="4"/>
      <c r="N89" s="4"/>
      <c r="O89" s="4"/>
    </row>
    <row r="90" spans="1:15">
      <c r="A90" s="4" t="s">
        <v>111</v>
      </c>
      <c r="B90" s="4" cm="1">
        <f t="array" ref="B90">IFERROR(_xlfn.TEXTJOIN(", ",TRUE,_xlfn.UNIQUE(_xlfn.FILTER(_xlfn.VSTACK('Без этажа'!B3:B1000),(_xlfn.VSTACK('Без этажа'!K3:K1000)=A90)+(_xlfn.VSTACK('Без этажа'!L3:L1000)=A90)))),"Не найдено")</f>
        <v>0</v>
      </c>
      <c r="C90" s="6" cm="1">
        <f t="array" ref="C90">IFERROR(SUM(_xlfn.FILTER(_xlfn.VSTACK('Без этажа'!I3:I1000),(_xlfn.VSTACK('Без этажа'!K3:K1000)=A90)+(_xlfn.VSTACK('Без этажа'!L3:L1000)=A90)))+SUM(_xlfn.FILTER(_xlfn.VSTACK('Без этажа'!J3:J1000),(_xlfn.VSTACK('Без этажа'!K3:K1000)=A90)+(_xlfn.VSTACK('Без этажа'!L3:L1000)=A90))),0)</f>
        <v>0</v>
      </c>
      <c r="D90" s="6">
        <f>C90*1.1</f>
        <v>0</v>
      </c>
      <c r="E90" s="6" cm="1">
        <f t="array" ref="E90">IFERROR(SUM(_xlfn.FILTER((_xlfn.VSTACK('Без этажа'!D3:D1000)*1.005*((_xlfn.VSTACK('Без этажа'!D3:D1000))-(-32))*1.2/3600),(_xlfn.VSTACK('Без этажа'!K3:K1000)=A90)+(_xlfn.VSTACK('Без этажа'!L3:L1000)=A90))),0)</f>
        <v>0</v>
      </c>
      <c r="F90" s="4"/>
      <c r="G90" s="4"/>
      <c r="H90" s="4"/>
      <c r="I90" s="4"/>
      <c r="J90" s="4"/>
      <c r="K90" s="4"/>
      <c r="L90" s="6">
        <f>J90+K90</f>
        <v>0</v>
      </c>
      <c r="M90" s="4"/>
      <c r="N90" s="4"/>
      <c r="O90" s="4"/>
    </row>
    <row r="91" spans="1:15">
      <c r="A91" s="4" t="s">
        <v>111</v>
      </c>
      <c r="B91" s="4" cm="1">
        <f t="array" ref="B91">IFERROR(_xlfn.TEXTJOIN(", ",TRUE,_xlfn.UNIQUE(_xlfn.FILTER(_xlfn.VSTACK('Без этажа'!B3:B1000),(_xlfn.VSTACK('Без этажа'!K3:K1000)=A91)+(_xlfn.VSTACK('Без этажа'!L3:L1000)=A91)))),"Не найдено")</f>
        <v>0</v>
      </c>
      <c r="C91" s="6" cm="1">
        <f t="array" ref="C91">IFERROR(SUM(_xlfn.FILTER(_xlfn.VSTACK('Без этажа'!I3:I1000),(_xlfn.VSTACK('Без этажа'!K3:K1000)=A91)+(_xlfn.VSTACK('Без этажа'!L3:L1000)=A91)))+SUM(_xlfn.FILTER(_xlfn.VSTACK('Без этажа'!J3:J1000),(_xlfn.VSTACK('Без этажа'!K3:K1000)=A91)+(_xlfn.VSTACK('Без этажа'!L3:L1000)=A91))),0)</f>
        <v>0</v>
      </c>
      <c r="D91" s="6">
        <f>C91*1.1</f>
        <v>0</v>
      </c>
      <c r="E91" s="6" cm="1">
        <f t="array" ref="E91">IFERROR(SUM(_xlfn.FILTER((_xlfn.VSTACK('Без этажа'!D3:D1000)*1.005*((_xlfn.VSTACK('Без этажа'!D3:D1000))-(-32))*1.2/3600),(_xlfn.VSTACK('Без этажа'!K3:K1000)=A91)+(_xlfn.VSTACK('Без этажа'!L3:L1000)=A91))),0)</f>
        <v>0</v>
      </c>
      <c r="F91" s="4"/>
      <c r="G91" s="4"/>
      <c r="H91" s="4"/>
      <c r="I91" s="4"/>
      <c r="J91" s="4"/>
      <c r="K91" s="4"/>
      <c r="L91" s="6">
        <f>J91+K91</f>
        <v>0</v>
      </c>
      <c r="M91" s="4"/>
      <c r="N91" s="4"/>
      <c r="O91" s="4"/>
    </row>
    <row r="92" spans="1:15">
      <c r="A92" s="4" t="s">
        <v>111</v>
      </c>
      <c r="B92" s="4" cm="1">
        <f t="array" ref="B92">IFERROR(_xlfn.TEXTJOIN(", ",TRUE,_xlfn.UNIQUE(_xlfn.FILTER(_xlfn.VSTACK('Без этажа'!B3:B1000),(_xlfn.VSTACK('Без этажа'!K3:K1000)=A92)+(_xlfn.VSTACK('Без этажа'!L3:L1000)=A92)))),"Не найдено")</f>
        <v>0</v>
      </c>
      <c r="C92" s="6" cm="1">
        <f t="array" ref="C92">IFERROR(SUM(_xlfn.FILTER(_xlfn.VSTACK('Без этажа'!I3:I1000),(_xlfn.VSTACK('Без этажа'!K3:K1000)=A92)+(_xlfn.VSTACK('Без этажа'!L3:L1000)=A92)))+SUM(_xlfn.FILTER(_xlfn.VSTACK('Без этажа'!J3:J1000),(_xlfn.VSTACK('Без этажа'!K3:K1000)=A92)+(_xlfn.VSTACK('Без этажа'!L3:L1000)=A92))),0)</f>
        <v>0</v>
      </c>
      <c r="D92" s="6">
        <f>C92*1.1</f>
        <v>0</v>
      </c>
      <c r="E92" s="6" cm="1">
        <f t="array" ref="E92">IFERROR(SUM(_xlfn.FILTER((_xlfn.VSTACK('Без этажа'!D3:D1000)*1.005*((_xlfn.VSTACK('Без этажа'!D3:D1000))-(-32))*1.2/3600),(_xlfn.VSTACK('Без этажа'!K3:K1000)=A92)+(_xlfn.VSTACK('Без этажа'!L3:L1000)=A92))),0)</f>
        <v>0</v>
      </c>
      <c r="F92" s="4"/>
      <c r="G92" s="4"/>
      <c r="H92" s="4"/>
      <c r="I92" s="4"/>
      <c r="J92" s="4"/>
      <c r="K92" s="4"/>
      <c r="L92" s="6">
        <f>J92+K92</f>
        <v>0</v>
      </c>
      <c r="M92" s="4"/>
      <c r="N92" s="4"/>
      <c r="O92" s="4"/>
    </row>
    <row r="93" spans="1:15">
      <c r="A93" s="4" t="s">
        <v>111</v>
      </c>
      <c r="B93" s="4" cm="1">
        <f t="array" ref="B93">IFERROR(_xlfn.TEXTJOIN(", ",TRUE,_xlfn.UNIQUE(_xlfn.FILTER(_xlfn.VSTACK('Без этажа'!B3:B1000),(_xlfn.VSTACK('Без этажа'!K3:K1000)=A93)+(_xlfn.VSTACK('Без этажа'!L3:L1000)=A93)))),"Не найдено")</f>
        <v>0</v>
      </c>
      <c r="C93" s="6" cm="1">
        <f t="array" ref="C93">IFERROR(SUM(_xlfn.FILTER(_xlfn.VSTACK('Без этажа'!I3:I1000),(_xlfn.VSTACK('Без этажа'!K3:K1000)=A93)+(_xlfn.VSTACK('Без этажа'!L3:L1000)=A93)))+SUM(_xlfn.FILTER(_xlfn.VSTACK('Без этажа'!J3:J1000),(_xlfn.VSTACK('Без этажа'!K3:K1000)=A93)+(_xlfn.VSTACK('Без этажа'!L3:L1000)=A93))),0)</f>
        <v>0</v>
      </c>
      <c r="D93" s="6">
        <f>C93*1.1</f>
        <v>0</v>
      </c>
      <c r="E93" s="6" cm="1">
        <f t="array" ref="E93">IFERROR(SUM(_xlfn.FILTER((_xlfn.VSTACK('Без этажа'!D3:D1000)*1.005*((_xlfn.VSTACK('Без этажа'!D3:D1000))-(-32))*1.2/3600),(_xlfn.VSTACK('Без этажа'!K3:K1000)=A93)+(_xlfn.VSTACK('Без этажа'!L3:L1000)=A93))),0)</f>
        <v>0</v>
      </c>
      <c r="F93" s="4"/>
      <c r="G93" s="4"/>
      <c r="H93" s="4"/>
      <c r="I93" s="4"/>
      <c r="J93" s="4"/>
      <c r="K93" s="4"/>
      <c r="L93" s="6">
        <f>J93+K93</f>
        <v>0</v>
      </c>
      <c r="M93" s="4"/>
      <c r="N93" s="4"/>
      <c r="O93" s="4"/>
    </row>
    <row r="94" spans="1:15">
      <c r="A94" s="4" t="s">
        <v>111</v>
      </c>
      <c r="B94" s="4" cm="1">
        <f t="array" ref="B94">IFERROR(_xlfn.TEXTJOIN(", ",TRUE,_xlfn.UNIQUE(_xlfn.FILTER(_xlfn.VSTACK('Без этажа'!B3:B1000),(_xlfn.VSTACK('Без этажа'!K3:K1000)=A94)+(_xlfn.VSTACK('Без этажа'!L3:L1000)=A94)))),"Не найдено")</f>
        <v>0</v>
      </c>
      <c r="C94" s="6" cm="1">
        <f t="array" ref="C94">IFERROR(SUM(_xlfn.FILTER(_xlfn.VSTACK('Без этажа'!I3:I1000),(_xlfn.VSTACK('Без этажа'!K3:K1000)=A94)+(_xlfn.VSTACK('Без этажа'!L3:L1000)=A94)))+SUM(_xlfn.FILTER(_xlfn.VSTACK('Без этажа'!J3:J1000),(_xlfn.VSTACK('Без этажа'!K3:K1000)=A94)+(_xlfn.VSTACK('Без этажа'!L3:L1000)=A94))),0)</f>
        <v>0</v>
      </c>
      <c r="D94" s="6">
        <f>C94*1.1</f>
        <v>0</v>
      </c>
      <c r="E94" s="6" cm="1">
        <f t="array" ref="E94">IFERROR(SUM(_xlfn.FILTER((_xlfn.VSTACK('Без этажа'!D3:D1000)*1.005*((_xlfn.VSTACK('Без этажа'!D3:D1000))-(-32))*1.2/3600),(_xlfn.VSTACK('Без этажа'!K3:K1000)=A94)+(_xlfn.VSTACK('Без этажа'!L3:L1000)=A94))),0)</f>
        <v>0</v>
      </c>
      <c r="F94" s="4"/>
      <c r="G94" s="4"/>
      <c r="H94" s="4"/>
      <c r="I94" s="4"/>
      <c r="J94" s="4"/>
      <c r="K94" s="4"/>
      <c r="L94" s="6">
        <f>J94+K94</f>
        <v>0</v>
      </c>
      <c r="M94" s="4"/>
      <c r="N94" s="4"/>
      <c r="O94" s="4"/>
    </row>
    <row r="95" spans="1:15">
      <c r="A95" s="4" t="s">
        <v>111</v>
      </c>
      <c r="B95" s="4" cm="1">
        <f t="array" ref="B95">IFERROR(_xlfn.TEXTJOIN(", ",TRUE,_xlfn.UNIQUE(_xlfn.FILTER(_xlfn.VSTACK('Без этажа'!B3:B1000),(_xlfn.VSTACK('Без этажа'!K3:K1000)=A95)+(_xlfn.VSTACK('Без этажа'!L3:L1000)=A95)))),"Не найдено")</f>
        <v>0</v>
      </c>
      <c r="C95" s="6" cm="1">
        <f t="array" ref="C95">IFERROR(SUM(_xlfn.FILTER(_xlfn.VSTACK('Без этажа'!I3:I1000),(_xlfn.VSTACK('Без этажа'!K3:K1000)=A95)+(_xlfn.VSTACK('Без этажа'!L3:L1000)=A95)))+SUM(_xlfn.FILTER(_xlfn.VSTACK('Без этажа'!J3:J1000),(_xlfn.VSTACK('Без этажа'!K3:K1000)=A95)+(_xlfn.VSTACK('Без этажа'!L3:L1000)=A95))),0)</f>
        <v>0</v>
      </c>
      <c r="D95" s="6">
        <f>C95*1.1</f>
        <v>0</v>
      </c>
      <c r="E95" s="6" cm="1">
        <f t="array" ref="E95">IFERROR(SUM(_xlfn.FILTER((_xlfn.VSTACK('Без этажа'!D3:D1000)*1.005*((_xlfn.VSTACK('Без этажа'!D3:D1000))-(-32))*1.2/3600),(_xlfn.VSTACK('Без этажа'!K3:K1000)=A95)+(_xlfn.VSTACK('Без этажа'!L3:L1000)=A95))),0)</f>
        <v>0</v>
      </c>
      <c r="F95" s="4"/>
      <c r="G95" s="4"/>
      <c r="H95" s="4"/>
      <c r="I95" s="4"/>
      <c r="J95" s="4"/>
      <c r="K95" s="4"/>
      <c r="L95" s="6">
        <f>J95+K95</f>
        <v>0</v>
      </c>
      <c r="M95" s="4"/>
      <c r="N95" s="4"/>
      <c r="O95" s="4"/>
    </row>
    <row r="96" spans="1:15">
      <c r="A96" s="4" t="s">
        <v>111</v>
      </c>
      <c r="B96" s="4" cm="1">
        <f t="array" ref="B96">IFERROR(_xlfn.TEXTJOIN(", ",TRUE,_xlfn.UNIQUE(_xlfn.FILTER(_xlfn.VSTACK('Без этажа'!B3:B1000),(_xlfn.VSTACK('Без этажа'!K3:K1000)=A96)+(_xlfn.VSTACK('Без этажа'!L3:L1000)=A96)))),"Не найдено")</f>
        <v>0</v>
      </c>
      <c r="C96" s="6" cm="1">
        <f t="array" ref="C96">IFERROR(SUM(_xlfn.FILTER(_xlfn.VSTACK('Без этажа'!I3:I1000),(_xlfn.VSTACK('Без этажа'!K3:K1000)=A96)+(_xlfn.VSTACK('Без этажа'!L3:L1000)=A96)))+SUM(_xlfn.FILTER(_xlfn.VSTACK('Без этажа'!J3:J1000),(_xlfn.VSTACK('Без этажа'!K3:K1000)=A96)+(_xlfn.VSTACK('Без этажа'!L3:L1000)=A96))),0)</f>
        <v>0</v>
      </c>
      <c r="D96" s="6">
        <f>C96*1.1</f>
        <v>0</v>
      </c>
      <c r="E96" s="6" cm="1">
        <f t="array" ref="E96">IFERROR(SUM(_xlfn.FILTER((_xlfn.VSTACK('Без этажа'!D3:D1000)*1.005*((_xlfn.VSTACK('Без этажа'!D3:D1000))-(-32))*1.2/3600),(_xlfn.VSTACK('Без этажа'!K3:K1000)=A96)+(_xlfn.VSTACK('Без этажа'!L3:L1000)=A96))),0)</f>
        <v>0</v>
      </c>
      <c r="F96" s="4"/>
      <c r="G96" s="4"/>
      <c r="H96" s="4"/>
      <c r="I96" s="4"/>
      <c r="J96" s="4"/>
      <c r="K96" s="4"/>
      <c r="L96" s="6">
        <f>J96+K96</f>
        <v>0</v>
      </c>
      <c r="M96" s="4"/>
      <c r="N96" s="4"/>
      <c r="O96" s="4"/>
    </row>
    <row r="97" spans="1:15">
      <c r="A97" s="4" t="s">
        <v>111</v>
      </c>
      <c r="B97" s="4" cm="1">
        <f t="array" ref="B97">IFERROR(_xlfn.TEXTJOIN(", ",TRUE,_xlfn.UNIQUE(_xlfn.FILTER(_xlfn.VSTACK('Без этажа'!B3:B1000),(_xlfn.VSTACK('Без этажа'!K3:K1000)=A97)+(_xlfn.VSTACK('Без этажа'!L3:L1000)=A97)))),"Не найдено")</f>
        <v>0</v>
      </c>
      <c r="C97" s="6" cm="1">
        <f t="array" ref="C97">IFERROR(SUM(_xlfn.FILTER(_xlfn.VSTACK('Без этажа'!I3:I1000),(_xlfn.VSTACK('Без этажа'!K3:K1000)=A97)+(_xlfn.VSTACK('Без этажа'!L3:L1000)=A97)))+SUM(_xlfn.FILTER(_xlfn.VSTACK('Без этажа'!J3:J1000),(_xlfn.VSTACK('Без этажа'!K3:K1000)=A97)+(_xlfn.VSTACK('Без этажа'!L3:L1000)=A97))),0)</f>
        <v>0</v>
      </c>
      <c r="D97" s="6">
        <f>C97*1.1</f>
        <v>0</v>
      </c>
      <c r="E97" s="6" cm="1">
        <f t="array" ref="E97">IFERROR(SUM(_xlfn.FILTER((_xlfn.VSTACK('Без этажа'!D3:D1000)*1.005*((_xlfn.VSTACK('Без этажа'!D3:D1000))-(-32))*1.2/3600),(_xlfn.VSTACK('Без этажа'!K3:K1000)=A97)+(_xlfn.VSTACK('Без этажа'!L3:L1000)=A97))),0)</f>
        <v>0</v>
      </c>
      <c r="F97" s="4"/>
      <c r="G97" s="4"/>
      <c r="H97" s="4"/>
      <c r="I97" s="4"/>
      <c r="J97" s="4"/>
      <c r="K97" s="4"/>
      <c r="L97" s="6">
        <f>J97+K97</f>
        <v>0</v>
      </c>
      <c r="M97" s="4"/>
      <c r="N97" s="4"/>
      <c r="O97" s="4"/>
    </row>
    <row r="98" spans="1:15">
      <c r="A98" s="4" t="s">
        <v>111</v>
      </c>
      <c r="B98" s="4" cm="1">
        <f t="array" ref="B98">IFERROR(_xlfn.TEXTJOIN(", ",TRUE,_xlfn.UNIQUE(_xlfn.FILTER(_xlfn.VSTACK('Без этажа'!B3:B1000),(_xlfn.VSTACK('Без этажа'!K3:K1000)=A98)+(_xlfn.VSTACK('Без этажа'!L3:L1000)=A98)))),"Не найдено")</f>
        <v>0</v>
      </c>
      <c r="C98" s="6" cm="1">
        <f t="array" ref="C98">IFERROR(SUM(_xlfn.FILTER(_xlfn.VSTACK('Без этажа'!I3:I1000),(_xlfn.VSTACK('Без этажа'!K3:K1000)=A98)+(_xlfn.VSTACK('Без этажа'!L3:L1000)=A98)))+SUM(_xlfn.FILTER(_xlfn.VSTACK('Без этажа'!J3:J1000),(_xlfn.VSTACK('Без этажа'!K3:K1000)=A98)+(_xlfn.VSTACK('Без этажа'!L3:L1000)=A98))),0)</f>
        <v>0</v>
      </c>
      <c r="D98" s="6">
        <f>C98*1.1</f>
        <v>0</v>
      </c>
      <c r="E98" s="6" cm="1">
        <f t="array" ref="E98">IFERROR(SUM(_xlfn.FILTER((_xlfn.VSTACK('Без этажа'!D3:D1000)*1.005*((_xlfn.VSTACK('Без этажа'!D3:D1000))-(-32))*1.2/3600),(_xlfn.VSTACK('Без этажа'!K3:K1000)=A98)+(_xlfn.VSTACK('Без этажа'!L3:L1000)=A98))),0)</f>
        <v>0</v>
      </c>
      <c r="F98" s="4"/>
      <c r="G98" s="4"/>
      <c r="H98" s="4"/>
      <c r="I98" s="4"/>
      <c r="J98" s="4"/>
      <c r="K98" s="4"/>
      <c r="L98" s="6">
        <f>J98+K98</f>
        <v>0</v>
      </c>
      <c r="M98" s="4"/>
      <c r="N98" s="4"/>
      <c r="O98" s="4"/>
    </row>
    <row r="99" spans="1:15">
      <c r="A99" s="4" t="s">
        <v>111</v>
      </c>
      <c r="B99" s="4" cm="1">
        <f t="array" ref="B99">IFERROR(_xlfn.TEXTJOIN(", ",TRUE,_xlfn.UNIQUE(_xlfn.FILTER(_xlfn.VSTACK('Без этажа'!B3:B1000),(_xlfn.VSTACK('Без этажа'!K3:K1000)=A99)+(_xlfn.VSTACK('Без этажа'!L3:L1000)=A99)))),"Не найдено")</f>
        <v>0</v>
      </c>
      <c r="C99" s="6" cm="1">
        <f t="array" ref="C99">IFERROR(SUM(_xlfn.FILTER(_xlfn.VSTACK('Без этажа'!I3:I1000),(_xlfn.VSTACK('Без этажа'!K3:K1000)=A99)+(_xlfn.VSTACK('Без этажа'!L3:L1000)=A99)))+SUM(_xlfn.FILTER(_xlfn.VSTACK('Без этажа'!J3:J1000),(_xlfn.VSTACK('Без этажа'!K3:K1000)=A99)+(_xlfn.VSTACK('Без этажа'!L3:L1000)=A99))),0)</f>
        <v>0</v>
      </c>
      <c r="D99" s="6">
        <f>C99*1.1</f>
        <v>0</v>
      </c>
      <c r="E99" s="6" cm="1">
        <f t="array" ref="E99">IFERROR(SUM(_xlfn.FILTER((_xlfn.VSTACK('Без этажа'!D3:D1000)*1.005*((_xlfn.VSTACK('Без этажа'!D3:D1000))-(-32))*1.2/3600),(_xlfn.VSTACK('Без этажа'!K3:K1000)=A99)+(_xlfn.VSTACK('Без этажа'!L3:L1000)=A99))),0)</f>
        <v>0</v>
      </c>
      <c r="F99" s="4"/>
      <c r="G99" s="4"/>
      <c r="H99" s="4"/>
      <c r="I99" s="4"/>
      <c r="J99" s="4"/>
      <c r="K99" s="4"/>
      <c r="L99" s="6">
        <f>J99+K99</f>
        <v>0</v>
      </c>
      <c r="M99" s="4"/>
      <c r="N99" s="4"/>
      <c r="O99" s="4"/>
    </row>
    <row r="100" spans="1:15">
      <c r="A100" s="4" t="s">
        <v>111</v>
      </c>
      <c r="B100" s="4" cm="1">
        <f t="array" ref="B100">IFERROR(_xlfn.TEXTJOIN(", ",TRUE,_xlfn.UNIQUE(_xlfn.FILTER(_xlfn.VSTACK('Без этажа'!B3:B1000),(_xlfn.VSTACK('Без этажа'!K3:K1000)=A100)+(_xlfn.VSTACK('Без этажа'!L3:L1000)=A100)))),"Не найдено")</f>
        <v>0</v>
      </c>
      <c r="C100" s="6" cm="1">
        <f t="array" ref="C100">IFERROR(SUM(_xlfn.FILTER(_xlfn.VSTACK('Без этажа'!I3:I1000),(_xlfn.VSTACK('Без этажа'!K3:K1000)=A100)+(_xlfn.VSTACK('Без этажа'!L3:L1000)=A100)))+SUM(_xlfn.FILTER(_xlfn.VSTACK('Без этажа'!J3:J1000),(_xlfn.VSTACK('Без этажа'!K3:K1000)=A100)+(_xlfn.VSTACK('Без этажа'!L3:L1000)=A100))),0)</f>
        <v>0</v>
      </c>
      <c r="D100" s="6">
        <f>C100*1.1</f>
        <v>0</v>
      </c>
      <c r="E100" s="6" cm="1">
        <f t="array" ref="E100">IFERROR(SUM(_xlfn.FILTER((_xlfn.VSTACK('Без этажа'!D3:D1000)*1.005*((_xlfn.VSTACK('Без этажа'!D3:D1000))-(-32))*1.2/3600),(_xlfn.VSTACK('Без этажа'!K3:K1000)=A100)+(_xlfn.VSTACK('Без этажа'!L3:L1000)=A100))),0)</f>
        <v>0</v>
      </c>
      <c r="F100" s="4"/>
      <c r="G100" s="4"/>
      <c r="H100" s="4"/>
      <c r="I100" s="4"/>
      <c r="J100" s="4"/>
      <c r="K100" s="4"/>
      <c r="L100" s="6">
        <f>J100+K100</f>
        <v>0</v>
      </c>
      <c r="M100" s="4"/>
      <c r="N100" s="4"/>
      <c r="O100" s="4"/>
    </row>
    <row r="101" spans="1:15">
      <c r="A101" s="4" t="s">
        <v>111</v>
      </c>
      <c r="B101" s="4" cm="1">
        <f t="array" ref="B101">IFERROR(_xlfn.TEXTJOIN(", ",TRUE,_xlfn.UNIQUE(_xlfn.FILTER(_xlfn.VSTACK('Без этажа'!B3:B1000),(_xlfn.VSTACK('Без этажа'!K3:K1000)=A101)+(_xlfn.VSTACK('Без этажа'!L3:L1000)=A101)))),"Не найдено")</f>
        <v>0</v>
      </c>
      <c r="C101" s="6" cm="1">
        <f t="array" ref="C101">IFERROR(SUM(_xlfn.FILTER(_xlfn.VSTACK('Без этажа'!I3:I1000),(_xlfn.VSTACK('Без этажа'!K3:K1000)=A101)+(_xlfn.VSTACK('Без этажа'!L3:L1000)=A101)))+SUM(_xlfn.FILTER(_xlfn.VSTACK('Без этажа'!J3:J1000),(_xlfn.VSTACK('Без этажа'!K3:K1000)=A101)+(_xlfn.VSTACK('Без этажа'!L3:L1000)=A101))),0)</f>
        <v>0</v>
      </c>
      <c r="D101" s="6">
        <f>C101*1.1</f>
        <v>0</v>
      </c>
      <c r="E101" s="6" cm="1">
        <f t="array" ref="E101">IFERROR(SUM(_xlfn.FILTER((_xlfn.VSTACK('Без этажа'!D3:D1000)*1.005*((_xlfn.VSTACK('Без этажа'!D3:D1000))-(-32))*1.2/3600),(_xlfn.VSTACK('Без этажа'!K3:K1000)=A101)+(_xlfn.VSTACK('Без этажа'!L3:L1000)=A101))),0)</f>
        <v>0</v>
      </c>
      <c r="F101" s="4"/>
      <c r="G101" s="4"/>
      <c r="H101" s="4"/>
      <c r="I101" s="4"/>
      <c r="J101" s="4"/>
      <c r="K101" s="4"/>
      <c r="L101" s="6">
        <f>J101+K101</f>
        <v>0</v>
      </c>
      <c r="M101" s="4"/>
      <c r="N101" s="4"/>
      <c r="O101" s="4"/>
    </row>
    <row r="102" spans="1:15">
      <c r="A102" s="4" t="s">
        <v>111</v>
      </c>
      <c r="B102" s="4" cm="1">
        <f t="array" ref="B102">IFERROR(_xlfn.TEXTJOIN(", ",TRUE,_xlfn.UNIQUE(_xlfn.FILTER(_xlfn.VSTACK('Без этажа'!B3:B1000),(_xlfn.VSTACK('Без этажа'!K3:K1000)=A102)+(_xlfn.VSTACK('Без этажа'!L3:L1000)=A102)))),"Не найдено")</f>
        <v>0</v>
      </c>
      <c r="C102" s="6" cm="1">
        <f t="array" ref="C102">IFERROR(SUM(_xlfn.FILTER(_xlfn.VSTACK('Без этажа'!I3:I1000),(_xlfn.VSTACK('Без этажа'!K3:K1000)=A102)+(_xlfn.VSTACK('Без этажа'!L3:L1000)=A102)))+SUM(_xlfn.FILTER(_xlfn.VSTACK('Без этажа'!J3:J1000),(_xlfn.VSTACK('Без этажа'!K3:K1000)=A102)+(_xlfn.VSTACK('Без этажа'!L3:L1000)=A102))),0)</f>
        <v>0</v>
      </c>
      <c r="D102" s="6">
        <f>C102*1.1</f>
        <v>0</v>
      </c>
      <c r="E102" s="6" cm="1">
        <f t="array" ref="E102">IFERROR(SUM(_xlfn.FILTER((_xlfn.VSTACK('Без этажа'!D3:D1000)*1.005*((_xlfn.VSTACK('Без этажа'!D3:D1000))-(-32))*1.2/3600),(_xlfn.VSTACK('Без этажа'!K3:K1000)=A102)+(_xlfn.VSTACK('Без этажа'!L3:L1000)=A102))),0)</f>
        <v>0</v>
      </c>
      <c r="F102" s="4"/>
      <c r="G102" s="4"/>
      <c r="H102" s="4"/>
      <c r="I102" s="4"/>
      <c r="J102" s="4"/>
      <c r="K102" s="4"/>
      <c r="L102" s="6">
        <f>J102+K102</f>
        <v>0</v>
      </c>
      <c r="M102" s="4"/>
      <c r="N102" s="4"/>
      <c r="O102" s="4"/>
    </row>
    <row r="103" spans="1:15">
      <c r="A103" s="4" t="s">
        <v>111</v>
      </c>
      <c r="B103" s="4" cm="1">
        <f t="array" ref="B103">IFERROR(_xlfn.TEXTJOIN(", ",TRUE,_xlfn.UNIQUE(_xlfn.FILTER(_xlfn.VSTACK('Без этажа'!B3:B1000),(_xlfn.VSTACK('Без этажа'!K3:K1000)=A103)+(_xlfn.VSTACK('Без этажа'!L3:L1000)=A103)))),"Не найдено")</f>
        <v>0</v>
      </c>
      <c r="C103" s="6" cm="1">
        <f t="array" ref="C103">IFERROR(SUM(_xlfn.FILTER(_xlfn.VSTACK('Без этажа'!I3:I1000),(_xlfn.VSTACK('Без этажа'!K3:K1000)=A103)+(_xlfn.VSTACK('Без этажа'!L3:L1000)=A103)))+SUM(_xlfn.FILTER(_xlfn.VSTACK('Без этажа'!J3:J1000),(_xlfn.VSTACK('Без этажа'!K3:K1000)=A103)+(_xlfn.VSTACK('Без этажа'!L3:L1000)=A103))),0)</f>
        <v>0</v>
      </c>
      <c r="D103" s="6">
        <f>C103*1.1</f>
        <v>0</v>
      </c>
      <c r="E103" s="6" cm="1">
        <f t="array" ref="E103">IFERROR(SUM(_xlfn.FILTER((_xlfn.VSTACK('Без этажа'!D3:D1000)*1.005*((_xlfn.VSTACK('Без этажа'!D3:D1000))-(-32))*1.2/3600),(_xlfn.VSTACK('Без этажа'!K3:K1000)=A103)+(_xlfn.VSTACK('Без этажа'!L3:L1000)=A103))),0)</f>
        <v>0</v>
      </c>
      <c r="F103" s="4"/>
      <c r="G103" s="4"/>
      <c r="H103" s="4"/>
      <c r="I103" s="4"/>
      <c r="J103" s="4"/>
      <c r="K103" s="4"/>
      <c r="L103" s="6">
        <f>J103+K103</f>
        <v>0</v>
      </c>
      <c r="M103" s="4"/>
      <c r="N103" s="4"/>
      <c r="O103" s="4"/>
    </row>
    <row r="104" spans="1:15">
      <c r="A104" s="4" t="s">
        <v>111</v>
      </c>
      <c r="B104" s="4" cm="1">
        <f t="array" ref="B104">IFERROR(_xlfn.TEXTJOIN(", ",TRUE,_xlfn.UNIQUE(_xlfn.FILTER(_xlfn.VSTACK('Без этажа'!B3:B1000),(_xlfn.VSTACK('Без этажа'!K3:K1000)=A104)+(_xlfn.VSTACK('Без этажа'!L3:L1000)=A104)))),"Не найдено")</f>
        <v>0</v>
      </c>
      <c r="C104" s="6" cm="1">
        <f t="array" ref="C104">IFERROR(SUM(_xlfn.FILTER(_xlfn.VSTACK('Без этажа'!I3:I1000),(_xlfn.VSTACK('Без этажа'!K3:K1000)=A104)+(_xlfn.VSTACK('Без этажа'!L3:L1000)=A104)))+SUM(_xlfn.FILTER(_xlfn.VSTACK('Без этажа'!J3:J1000),(_xlfn.VSTACK('Без этажа'!K3:K1000)=A104)+(_xlfn.VSTACK('Без этажа'!L3:L1000)=A104))),0)</f>
        <v>0</v>
      </c>
      <c r="D104" s="6">
        <f>C104*1.1</f>
        <v>0</v>
      </c>
      <c r="E104" s="6" cm="1">
        <f t="array" ref="E104">IFERROR(SUM(_xlfn.FILTER((_xlfn.VSTACK('Без этажа'!D3:D1000)*1.005*((_xlfn.VSTACK('Без этажа'!D3:D1000))-(-32))*1.2/3600),(_xlfn.VSTACK('Без этажа'!K3:K1000)=A104)+(_xlfn.VSTACK('Без этажа'!L3:L1000)=A104))),0)</f>
        <v>0</v>
      </c>
      <c r="F104" s="4"/>
      <c r="G104" s="4"/>
      <c r="H104" s="4"/>
      <c r="I104" s="4"/>
      <c r="J104" s="4"/>
      <c r="K104" s="4"/>
      <c r="L104" s="6">
        <f>J104+K104</f>
        <v>0</v>
      </c>
      <c r="M104" s="4"/>
      <c r="N104" s="4"/>
      <c r="O104" s="4"/>
    </row>
    <row r="105" spans="1:15">
      <c r="A105" s="4" t="s">
        <v>111</v>
      </c>
      <c r="B105" s="4" cm="1">
        <f t="array" ref="B105">IFERROR(_xlfn.TEXTJOIN(", ",TRUE,_xlfn.UNIQUE(_xlfn.FILTER(_xlfn.VSTACK('Без этажа'!B3:B1000),(_xlfn.VSTACK('Без этажа'!K3:K1000)=A105)+(_xlfn.VSTACK('Без этажа'!L3:L1000)=A105)))),"Не найдено")</f>
        <v>0</v>
      </c>
      <c r="C105" s="6" cm="1">
        <f t="array" ref="C105">IFERROR(SUM(_xlfn.FILTER(_xlfn.VSTACK('Без этажа'!I3:I1000),(_xlfn.VSTACK('Без этажа'!K3:K1000)=A105)+(_xlfn.VSTACK('Без этажа'!L3:L1000)=A105)))+SUM(_xlfn.FILTER(_xlfn.VSTACK('Без этажа'!J3:J1000),(_xlfn.VSTACK('Без этажа'!K3:K1000)=A105)+(_xlfn.VSTACK('Без этажа'!L3:L1000)=A105))),0)</f>
        <v>0</v>
      </c>
      <c r="D105" s="6">
        <f>C105*1.1</f>
        <v>0</v>
      </c>
      <c r="E105" s="6" cm="1">
        <f t="array" ref="E105">IFERROR(SUM(_xlfn.FILTER((_xlfn.VSTACK('Без этажа'!D3:D1000)*1.005*((_xlfn.VSTACK('Без этажа'!D3:D1000))-(-32))*1.2/3600),(_xlfn.VSTACK('Без этажа'!K3:K1000)=A105)+(_xlfn.VSTACK('Без этажа'!L3:L1000)=A105))),0)</f>
        <v>0</v>
      </c>
      <c r="F105" s="4"/>
      <c r="G105" s="4"/>
      <c r="H105" s="4"/>
      <c r="I105" s="4"/>
      <c r="J105" s="4"/>
      <c r="K105" s="4"/>
      <c r="L105" s="6">
        <f>J105+K105</f>
        <v>0</v>
      </c>
      <c r="M105" s="4"/>
      <c r="N105" s="4"/>
      <c r="O105" s="4"/>
    </row>
    <row r="106" spans="1:15">
      <c r="A106" s="4" t="s">
        <v>111</v>
      </c>
      <c r="B106" s="4" cm="1">
        <f t="array" ref="B106">IFERROR(_xlfn.TEXTJOIN(", ",TRUE,_xlfn.UNIQUE(_xlfn.FILTER(_xlfn.VSTACK('Без этажа'!B3:B1000),(_xlfn.VSTACK('Без этажа'!K3:K1000)=A106)+(_xlfn.VSTACK('Без этажа'!L3:L1000)=A106)))),"Не найдено")</f>
        <v>0</v>
      </c>
      <c r="C106" s="6" cm="1">
        <f t="array" ref="C106">IFERROR(SUM(_xlfn.FILTER(_xlfn.VSTACK('Без этажа'!I3:I1000),(_xlfn.VSTACK('Без этажа'!K3:K1000)=A106)+(_xlfn.VSTACK('Без этажа'!L3:L1000)=A106)))+SUM(_xlfn.FILTER(_xlfn.VSTACK('Без этажа'!J3:J1000),(_xlfn.VSTACK('Без этажа'!K3:K1000)=A106)+(_xlfn.VSTACK('Без этажа'!L3:L1000)=A106))),0)</f>
        <v>0</v>
      </c>
      <c r="D106" s="6">
        <f>C106*1.1</f>
        <v>0</v>
      </c>
      <c r="E106" s="6" cm="1">
        <f t="array" ref="E106">IFERROR(SUM(_xlfn.FILTER((_xlfn.VSTACK('Без этажа'!D3:D1000)*1.005*((_xlfn.VSTACK('Без этажа'!D3:D1000))-(-32))*1.2/3600),(_xlfn.VSTACK('Без этажа'!K3:K1000)=A106)+(_xlfn.VSTACK('Без этажа'!L3:L1000)=A106))),0)</f>
        <v>0</v>
      </c>
      <c r="F106" s="4"/>
      <c r="G106" s="4"/>
      <c r="H106" s="4"/>
      <c r="I106" s="4"/>
      <c r="J106" s="4"/>
      <c r="K106" s="4"/>
      <c r="L106" s="6">
        <f>J106+K106</f>
        <v>0</v>
      </c>
      <c r="M106" s="4"/>
      <c r="N106" s="4"/>
      <c r="O106" s="4"/>
    </row>
    <row r="107" spans="1:15">
      <c r="A107" s="4" t="s">
        <v>111</v>
      </c>
      <c r="B107" s="4" cm="1">
        <f t="array" ref="B107">IFERROR(_xlfn.TEXTJOIN(", ",TRUE,_xlfn.UNIQUE(_xlfn.FILTER(_xlfn.VSTACK('Без этажа'!B3:B1000),(_xlfn.VSTACK('Без этажа'!K3:K1000)=A107)+(_xlfn.VSTACK('Без этажа'!L3:L1000)=A107)))),"Не найдено")</f>
        <v>0</v>
      </c>
      <c r="C107" s="6" cm="1">
        <f t="array" ref="C107">IFERROR(SUM(_xlfn.FILTER(_xlfn.VSTACK('Без этажа'!I3:I1000),(_xlfn.VSTACK('Без этажа'!K3:K1000)=A107)+(_xlfn.VSTACK('Без этажа'!L3:L1000)=A107)))+SUM(_xlfn.FILTER(_xlfn.VSTACK('Без этажа'!J3:J1000),(_xlfn.VSTACK('Без этажа'!K3:K1000)=A107)+(_xlfn.VSTACK('Без этажа'!L3:L1000)=A107))),0)</f>
        <v>0</v>
      </c>
      <c r="D107" s="6">
        <f>C107*1.1</f>
        <v>0</v>
      </c>
      <c r="E107" s="6" cm="1">
        <f t="array" ref="E107">IFERROR(SUM(_xlfn.FILTER((_xlfn.VSTACK('Без этажа'!D3:D1000)*1.005*((_xlfn.VSTACK('Без этажа'!D3:D1000))-(-32))*1.2/3600),(_xlfn.VSTACK('Без этажа'!K3:K1000)=A107)+(_xlfn.VSTACK('Без этажа'!L3:L1000)=A107))),0)</f>
        <v>0</v>
      </c>
      <c r="F107" s="4"/>
      <c r="G107" s="4"/>
      <c r="H107" s="4"/>
      <c r="I107" s="4"/>
      <c r="J107" s="4"/>
      <c r="K107" s="4"/>
      <c r="L107" s="6">
        <f>J107+K107</f>
        <v>0</v>
      </c>
      <c r="M107" s="4"/>
      <c r="N107" s="4"/>
      <c r="O107" s="4"/>
    </row>
    <row r="108" spans="1:15">
      <c r="A108" s="4" t="s">
        <v>111</v>
      </c>
      <c r="B108" s="4" cm="1">
        <f t="array" ref="B108">IFERROR(_xlfn.TEXTJOIN(", ",TRUE,_xlfn.UNIQUE(_xlfn.FILTER(_xlfn.VSTACK('Без этажа'!B3:B1000),(_xlfn.VSTACK('Без этажа'!K3:K1000)=A108)+(_xlfn.VSTACK('Без этажа'!L3:L1000)=A108)))),"Не найдено")</f>
        <v>0</v>
      </c>
      <c r="C108" s="6" cm="1">
        <f t="array" ref="C108">IFERROR(SUM(_xlfn.FILTER(_xlfn.VSTACK('Без этажа'!I3:I1000),(_xlfn.VSTACK('Без этажа'!K3:K1000)=A108)+(_xlfn.VSTACK('Без этажа'!L3:L1000)=A108)))+SUM(_xlfn.FILTER(_xlfn.VSTACK('Без этажа'!J3:J1000),(_xlfn.VSTACK('Без этажа'!K3:K1000)=A108)+(_xlfn.VSTACK('Без этажа'!L3:L1000)=A108))),0)</f>
        <v>0</v>
      </c>
      <c r="D108" s="6">
        <f>C108*1.1</f>
        <v>0</v>
      </c>
      <c r="E108" s="6" cm="1">
        <f t="array" ref="E108">IFERROR(SUM(_xlfn.FILTER((_xlfn.VSTACK('Без этажа'!D3:D1000)*1.005*((_xlfn.VSTACK('Без этажа'!D3:D1000))-(-32))*1.2/3600),(_xlfn.VSTACK('Без этажа'!K3:K1000)=A108)+(_xlfn.VSTACK('Без этажа'!L3:L1000)=A108))),0)</f>
        <v>0</v>
      </c>
      <c r="F108" s="4"/>
      <c r="G108" s="4"/>
      <c r="H108" s="4"/>
      <c r="I108" s="4"/>
      <c r="J108" s="4"/>
      <c r="K108" s="4"/>
      <c r="L108" s="6">
        <f>J108+K108</f>
        <v>0</v>
      </c>
      <c r="M108" s="4"/>
      <c r="N108" s="4"/>
      <c r="O108" s="4"/>
    </row>
    <row r="109" spans="1:15">
      <c r="A109" s="4" t="s">
        <v>111</v>
      </c>
      <c r="B109" s="4" cm="1">
        <f t="array" ref="B109">IFERROR(_xlfn.TEXTJOIN(", ",TRUE,_xlfn.UNIQUE(_xlfn.FILTER(_xlfn.VSTACK('Без этажа'!B3:B1000),(_xlfn.VSTACK('Без этажа'!K3:K1000)=A109)+(_xlfn.VSTACK('Без этажа'!L3:L1000)=A109)))),"Не найдено")</f>
        <v>0</v>
      </c>
      <c r="C109" s="6" cm="1">
        <f t="array" ref="C109">IFERROR(SUM(_xlfn.FILTER(_xlfn.VSTACK('Без этажа'!I3:I1000),(_xlfn.VSTACK('Без этажа'!K3:K1000)=A109)+(_xlfn.VSTACK('Без этажа'!L3:L1000)=A109)))+SUM(_xlfn.FILTER(_xlfn.VSTACK('Без этажа'!J3:J1000),(_xlfn.VSTACK('Без этажа'!K3:K1000)=A109)+(_xlfn.VSTACK('Без этажа'!L3:L1000)=A109))),0)</f>
        <v>0</v>
      </c>
      <c r="D109" s="6">
        <f>C109*1.1</f>
        <v>0</v>
      </c>
      <c r="E109" s="6" cm="1">
        <f t="array" ref="E109">IFERROR(SUM(_xlfn.FILTER((_xlfn.VSTACK('Без этажа'!D3:D1000)*1.005*((_xlfn.VSTACK('Без этажа'!D3:D1000))-(-32))*1.2/3600),(_xlfn.VSTACK('Без этажа'!K3:K1000)=A109)+(_xlfn.VSTACK('Без этажа'!L3:L1000)=A109))),0)</f>
        <v>0</v>
      </c>
      <c r="F109" s="4"/>
      <c r="G109" s="4"/>
      <c r="H109" s="4"/>
      <c r="I109" s="4"/>
      <c r="J109" s="4"/>
      <c r="K109" s="4"/>
      <c r="L109" s="6">
        <f>J109+K109</f>
        <v>0</v>
      </c>
      <c r="M109" s="4"/>
      <c r="N109" s="4"/>
      <c r="O109" s="4"/>
    </row>
    <row r="110" spans="1:15">
      <c r="A110" s="4" t="s">
        <v>111</v>
      </c>
      <c r="B110" s="4" cm="1">
        <f t="array" ref="B110">IFERROR(_xlfn.TEXTJOIN(", ",TRUE,_xlfn.UNIQUE(_xlfn.FILTER(_xlfn.VSTACK('Без этажа'!B3:B1000),(_xlfn.VSTACK('Без этажа'!K3:K1000)=A110)+(_xlfn.VSTACK('Без этажа'!L3:L1000)=A110)))),"Не найдено")</f>
        <v>0</v>
      </c>
      <c r="C110" s="6" cm="1">
        <f t="array" ref="C110">IFERROR(SUM(_xlfn.FILTER(_xlfn.VSTACK('Без этажа'!I3:I1000),(_xlfn.VSTACK('Без этажа'!K3:K1000)=A110)+(_xlfn.VSTACK('Без этажа'!L3:L1000)=A110)))+SUM(_xlfn.FILTER(_xlfn.VSTACK('Без этажа'!J3:J1000),(_xlfn.VSTACK('Без этажа'!K3:K1000)=A110)+(_xlfn.VSTACK('Без этажа'!L3:L1000)=A110))),0)</f>
        <v>0</v>
      </c>
      <c r="D110" s="6">
        <f>C110*1.1</f>
        <v>0</v>
      </c>
      <c r="E110" s="6" cm="1">
        <f t="array" ref="E110">IFERROR(SUM(_xlfn.FILTER((_xlfn.VSTACK('Без этажа'!D3:D1000)*1.005*((_xlfn.VSTACK('Без этажа'!D3:D1000))-(-32))*1.2/3600),(_xlfn.VSTACK('Без этажа'!K3:K1000)=A110)+(_xlfn.VSTACK('Без этажа'!L3:L1000)=A110))),0)</f>
        <v>0</v>
      </c>
      <c r="F110" s="4"/>
      <c r="G110" s="4"/>
      <c r="H110" s="4"/>
      <c r="I110" s="4"/>
      <c r="J110" s="4"/>
      <c r="K110" s="4"/>
      <c r="L110" s="6">
        <f>J110+K110</f>
        <v>0</v>
      </c>
      <c r="M110" s="4"/>
      <c r="N110" s="4"/>
      <c r="O110" s="4"/>
    </row>
    <row r="111" spans="1:15">
      <c r="A111" s="4" t="s">
        <v>111</v>
      </c>
      <c r="B111" s="4" cm="1">
        <f t="array" ref="B111">IFERROR(_xlfn.TEXTJOIN(", ",TRUE,_xlfn.UNIQUE(_xlfn.FILTER(_xlfn.VSTACK('Без этажа'!B3:B1000),(_xlfn.VSTACK('Без этажа'!K3:K1000)=A111)+(_xlfn.VSTACK('Без этажа'!L3:L1000)=A111)))),"Не найдено")</f>
        <v>0</v>
      </c>
      <c r="C111" s="6" cm="1">
        <f t="array" ref="C111">IFERROR(SUM(_xlfn.FILTER(_xlfn.VSTACK('Без этажа'!I3:I1000),(_xlfn.VSTACK('Без этажа'!K3:K1000)=A111)+(_xlfn.VSTACK('Без этажа'!L3:L1000)=A111)))+SUM(_xlfn.FILTER(_xlfn.VSTACK('Без этажа'!J3:J1000),(_xlfn.VSTACK('Без этажа'!K3:K1000)=A111)+(_xlfn.VSTACK('Без этажа'!L3:L1000)=A111))),0)</f>
        <v>0</v>
      </c>
      <c r="D111" s="6">
        <f>C111*1.1</f>
        <v>0</v>
      </c>
      <c r="E111" s="6" cm="1">
        <f t="array" ref="E111">IFERROR(SUM(_xlfn.FILTER((_xlfn.VSTACK('Без этажа'!D3:D1000)*1.005*((_xlfn.VSTACK('Без этажа'!D3:D1000))-(-32))*1.2/3600),(_xlfn.VSTACK('Без этажа'!K3:K1000)=A111)+(_xlfn.VSTACK('Без этажа'!L3:L1000)=A111))),0)</f>
        <v>0</v>
      </c>
      <c r="F111" s="4"/>
      <c r="G111" s="4"/>
      <c r="H111" s="4"/>
      <c r="I111" s="4"/>
      <c r="J111" s="4"/>
      <c r="K111" s="4"/>
      <c r="L111" s="6">
        <f>J111+K111</f>
        <v>0</v>
      </c>
      <c r="M111" s="4"/>
      <c r="N111" s="4"/>
      <c r="O111" s="4"/>
    </row>
    <row r="112" spans="1:15">
      <c r="A112" s="4" t="s">
        <v>111</v>
      </c>
      <c r="B112" s="4" cm="1">
        <f t="array" ref="B112">IFERROR(_xlfn.TEXTJOIN(", ",TRUE,_xlfn.UNIQUE(_xlfn.FILTER(_xlfn.VSTACK('Без этажа'!B3:B1000),(_xlfn.VSTACK('Без этажа'!K3:K1000)=A112)+(_xlfn.VSTACK('Без этажа'!L3:L1000)=A112)))),"Не найдено")</f>
        <v>0</v>
      </c>
      <c r="C112" s="6" cm="1">
        <f t="array" ref="C112">IFERROR(SUM(_xlfn.FILTER(_xlfn.VSTACK('Без этажа'!I3:I1000),(_xlfn.VSTACK('Без этажа'!K3:K1000)=A112)+(_xlfn.VSTACK('Без этажа'!L3:L1000)=A112)))+SUM(_xlfn.FILTER(_xlfn.VSTACK('Без этажа'!J3:J1000),(_xlfn.VSTACK('Без этажа'!K3:K1000)=A112)+(_xlfn.VSTACK('Без этажа'!L3:L1000)=A112))),0)</f>
        <v>0</v>
      </c>
      <c r="D112" s="6">
        <f>C112*1.1</f>
        <v>0</v>
      </c>
      <c r="E112" s="6" cm="1">
        <f t="array" ref="E112">IFERROR(SUM(_xlfn.FILTER((_xlfn.VSTACK('Без этажа'!D3:D1000)*1.005*((_xlfn.VSTACK('Без этажа'!D3:D1000))-(-32))*1.2/3600),(_xlfn.VSTACK('Без этажа'!K3:K1000)=A112)+(_xlfn.VSTACK('Без этажа'!L3:L1000)=A112))),0)</f>
        <v>0</v>
      </c>
      <c r="F112" s="4"/>
      <c r="G112" s="4"/>
      <c r="H112" s="4"/>
      <c r="I112" s="4"/>
      <c r="J112" s="4"/>
      <c r="K112" s="4"/>
      <c r="L112" s="6">
        <f>J112+K112</f>
        <v>0</v>
      </c>
      <c r="M112" s="4"/>
      <c r="N112" s="4"/>
      <c r="O112" s="4"/>
    </row>
    <row r="113" spans="1:15">
      <c r="A113" s="4" t="s">
        <v>111</v>
      </c>
      <c r="B113" s="4" cm="1">
        <f t="array" ref="B113">IFERROR(_xlfn.TEXTJOIN(", ",TRUE,_xlfn.UNIQUE(_xlfn.FILTER(_xlfn.VSTACK('Без этажа'!B3:B1000),(_xlfn.VSTACK('Без этажа'!K3:K1000)=A113)+(_xlfn.VSTACK('Без этажа'!L3:L1000)=A113)))),"Не найдено")</f>
        <v>0</v>
      </c>
      <c r="C113" s="6" cm="1">
        <f t="array" ref="C113">IFERROR(SUM(_xlfn.FILTER(_xlfn.VSTACK('Без этажа'!I3:I1000),(_xlfn.VSTACK('Без этажа'!K3:K1000)=A113)+(_xlfn.VSTACK('Без этажа'!L3:L1000)=A113)))+SUM(_xlfn.FILTER(_xlfn.VSTACK('Без этажа'!J3:J1000),(_xlfn.VSTACK('Без этажа'!K3:K1000)=A113)+(_xlfn.VSTACK('Без этажа'!L3:L1000)=A113))),0)</f>
        <v>0</v>
      </c>
      <c r="D113" s="6">
        <f>C113*1.1</f>
        <v>0</v>
      </c>
      <c r="E113" s="6" cm="1">
        <f t="array" ref="E113">IFERROR(SUM(_xlfn.FILTER((_xlfn.VSTACK('Без этажа'!D3:D1000)*1.005*((_xlfn.VSTACK('Без этажа'!D3:D1000))-(-32))*1.2/3600),(_xlfn.VSTACK('Без этажа'!K3:K1000)=A113)+(_xlfn.VSTACK('Без этажа'!L3:L1000)=A113))),0)</f>
        <v>0</v>
      </c>
      <c r="F113" s="4"/>
      <c r="G113" s="4"/>
      <c r="H113" s="4"/>
      <c r="I113" s="4"/>
      <c r="J113" s="4"/>
      <c r="K113" s="4"/>
      <c r="L113" s="6">
        <f>J113+K113</f>
        <v>0</v>
      </c>
      <c r="M113" s="4"/>
      <c r="N113" s="4"/>
      <c r="O113" s="4"/>
    </row>
    <row r="114" spans="1:15">
      <c r="A114" s="4" t="s">
        <v>111</v>
      </c>
      <c r="B114" s="4" cm="1">
        <f t="array" ref="B114">IFERROR(_xlfn.TEXTJOIN(", ",TRUE,_xlfn.UNIQUE(_xlfn.FILTER(_xlfn.VSTACK('Без этажа'!B3:B1000),(_xlfn.VSTACK('Без этажа'!K3:K1000)=A114)+(_xlfn.VSTACK('Без этажа'!L3:L1000)=A114)))),"Не найдено")</f>
        <v>0</v>
      </c>
      <c r="C114" s="6" cm="1">
        <f t="array" ref="C114">IFERROR(SUM(_xlfn.FILTER(_xlfn.VSTACK('Без этажа'!I3:I1000),(_xlfn.VSTACK('Без этажа'!K3:K1000)=A114)+(_xlfn.VSTACK('Без этажа'!L3:L1000)=A114)))+SUM(_xlfn.FILTER(_xlfn.VSTACK('Без этажа'!J3:J1000),(_xlfn.VSTACK('Без этажа'!K3:K1000)=A114)+(_xlfn.VSTACK('Без этажа'!L3:L1000)=A114))),0)</f>
        <v>0</v>
      </c>
      <c r="D114" s="6">
        <f>C114*1.1</f>
        <v>0</v>
      </c>
      <c r="E114" s="6" cm="1">
        <f t="array" ref="E114">IFERROR(SUM(_xlfn.FILTER((_xlfn.VSTACK('Без этажа'!D3:D1000)*1.005*((_xlfn.VSTACK('Без этажа'!D3:D1000))-(-32))*1.2/3600),(_xlfn.VSTACK('Без этажа'!K3:K1000)=A114)+(_xlfn.VSTACK('Без этажа'!L3:L1000)=A114))),0)</f>
        <v>0</v>
      </c>
      <c r="F114" s="4"/>
      <c r="G114" s="4"/>
      <c r="H114" s="4"/>
      <c r="I114" s="4"/>
      <c r="J114" s="4"/>
      <c r="K114" s="4"/>
      <c r="L114" s="6">
        <f>J114+K114</f>
        <v>0</v>
      </c>
      <c r="M114" s="4"/>
      <c r="N114" s="4"/>
      <c r="O114" s="4"/>
    </row>
    <row r="115" spans="1:15">
      <c r="A115" s="4" t="s">
        <v>111</v>
      </c>
      <c r="B115" s="4" cm="1">
        <f t="array" ref="B115">IFERROR(_xlfn.TEXTJOIN(", ",TRUE,_xlfn.UNIQUE(_xlfn.FILTER(_xlfn.VSTACK('Без этажа'!B3:B1000),(_xlfn.VSTACK('Без этажа'!K3:K1000)=A115)+(_xlfn.VSTACK('Без этажа'!L3:L1000)=A115)))),"Не найдено")</f>
        <v>0</v>
      </c>
      <c r="C115" s="6" cm="1">
        <f t="array" ref="C115">IFERROR(SUM(_xlfn.FILTER(_xlfn.VSTACK('Без этажа'!I3:I1000),(_xlfn.VSTACK('Без этажа'!K3:K1000)=A115)+(_xlfn.VSTACK('Без этажа'!L3:L1000)=A115)))+SUM(_xlfn.FILTER(_xlfn.VSTACK('Без этажа'!J3:J1000),(_xlfn.VSTACK('Без этажа'!K3:K1000)=A115)+(_xlfn.VSTACK('Без этажа'!L3:L1000)=A115))),0)</f>
        <v>0</v>
      </c>
      <c r="D115" s="6">
        <f>C115*1.1</f>
        <v>0</v>
      </c>
      <c r="E115" s="6" cm="1">
        <f t="array" ref="E115">IFERROR(SUM(_xlfn.FILTER((_xlfn.VSTACK('Без этажа'!D3:D1000)*1.005*((_xlfn.VSTACK('Без этажа'!D3:D1000))-(-32))*1.2/3600),(_xlfn.VSTACK('Без этажа'!K3:K1000)=A115)+(_xlfn.VSTACK('Без этажа'!L3:L1000)=A115))),0)</f>
        <v>0</v>
      </c>
      <c r="F115" s="4"/>
      <c r="G115" s="4"/>
      <c r="H115" s="4"/>
      <c r="I115" s="4"/>
      <c r="J115" s="4"/>
      <c r="K115" s="4"/>
      <c r="L115" s="6">
        <f>J115+K115</f>
        <v>0</v>
      </c>
      <c r="M115" s="4"/>
      <c r="N115" s="4"/>
      <c r="O115" s="4"/>
    </row>
    <row r="116" spans="1:15">
      <c r="A116" s="4" t="s">
        <v>111</v>
      </c>
      <c r="B116" s="4" cm="1">
        <f t="array" ref="B116">IFERROR(_xlfn.TEXTJOIN(", ",TRUE,_xlfn.UNIQUE(_xlfn.FILTER(_xlfn.VSTACK('Без этажа'!B3:B1000),(_xlfn.VSTACK('Без этажа'!K3:K1000)=A116)+(_xlfn.VSTACK('Без этажа'!L3:L1000)=A116)))),"Не найдено")</f>
        <v>0</v>
      </c>
      <c r="C116" s="6" cm="1">
        <f t="array" ref="C116">IFERROR(SUM(_xlfn.FILTER(_xlfn.VSTACK('Без этажа'!I3:I1000),(_xlfn.VSTACK('Без этажа'!K3:K1000)=A116)+(_xlfn.VSTACK('Без этажа'!L3:L1000)=A116)))+SUM(_xlfn.FILTER(_xlfn.VSTACK('Без этажа'!J3:J1000),(_xlfn.VSTACK('Без этажа'!K3:K1000)=A116)+(_xlfn.VSTACK('Без этажа'!L3:L1000)=A116))),0)</f>
        <v>0</v>
      </c>
      <c r="D116" s="6">
        <f>C116*1.1</f>
        <v>0</v>
      </c>
      <c r="E116" s="6" cm="1">
        <f t="array" ref="E116">IFERROR(SUM(_xlfn.FILTER((_xlfn.VSTACK('Без этажа'!D3:D1000)*1.005*((_xlfn.VSTACK('Без этажа'!D3:D1000))-(-32))*1.2/3600),(_xlfn.VSTACK('Без этажа'!K3:K1000)=A116)+(_xlfn.VSTACK('Без этажа'!L3:L1000)=A116))),0)</f>
        <v>0</v>
      </c>
      <c r="F116" s="4"/>
      <c r="G116" s="4"/>
      <c r="H116" s="4"/>
      <c r="I116" s="4"/>
      <c r="J116" s="4"/>
      <c r="K116" s="4"/>
      <c r="L116" s="6">
        <f>J116+K116</f>
        <v>0</v>
      </c>
      <c r="M116" s="4"/>
      <c r="N116" s="4"/>
      <c r="O116" s="4"/>
    </row>
    <row r="117" spans="1:15">
      <c r="A117" s="4" t="s">
        <v>111</v>
      </c>
      <c r="B117" s="4" cm="1">
        <f t="array" ref="B117">IFERROR(_xlfn.TEXTJOIN(", ",TRUE,_xlfn.UNIQUE(_xlfn.FILTER(_xlfn.VSTACK('Без этажа'!B3:B1000),(_xlfn.VSTACK('Без этажа'!K3:K1000)=A117)+(_xlfn.VSTACK('Без этажа'!L3:L1000)=A117)))),"Не найдено")</f>
        <v>0</v>
      </c>
      <c r="C117" s="6" cm="1">
        <f t="array" ref="C117">IFERROR(SUM(_xlfn.FILTER(_xlfn.VSTACK('Без этажа'!I3:I1000),(_xlfn.VSTACK('Без этажа'!K3:K1000)=A117)+(_xlfn.VSTACK('Без этажа'!L3:L1000)=A117)))+SUM(_xlfn.FILTER(_xlfn.VSTACK('Без этажа'!J3:J1000),(_xlfn.VSTACK('Без этажа'!K3:K1000)=A117)+(_xlfn.VSTACK('Без этажа'!L3:L1000)=A117))),0)</f>
        <v>0</v>
      </c>
      <c r="D117" s="6">
        <f>C117*1.1</f>
        <v>0</v>
      </c>
      <c r="E117" s="6" cm="1">
        <f t="array" ref="E117">IFERROR(SUM(_xlfn.FILTER((_xlfn.VSTACK('Без этажа'!D3:D1000)*1.005*((_xlfn.VSTACK('Без этажа'!D3:D1000))-(-32))*1.2/3600),(_xlfn.VSTACK('Без этажа'!K3:K1000)=A117)+(_xlfn.VSTACK('Без этажа'!L3:L1000)=A117))),0)</f>
        <v>0</v>
      </c>
      <c r="F117" s="4"/>
      <c r="G117" s="4"/>
      <c r="H117" s="4"/>
      <c r="I117" s="4"/>
      <c r="J117" s="4"/>
      <c r="K117" s="4"/>
      <c r="L117" s="6">
        <f>J117+K117</f>
        <v>0</v>
      </c>
      <c r="M117" s="4"/>
      <c r="N117" s="4"/>
      <c r="O117" s="4"/>
    </row>
    <row r="118" spans="1:15">
      <c r="A118" s="4" t="s">
        <v>111</v>
      </c>
      <c r="B118" s="4" cm="1">
        <f t="array" ref="B118">IFERROR(_xlfn.TEXTJOIN(", ",TRUE,_xlfn.UNIQUE(_xlfn.FILTER(_xlfn.VSTACK('Без этажа'!B3:B1000),(_xlfn.VSTACK('Без этажа'!K3:K1000)=A118)+(_xlfn.VSTACK('Без этажа'!L3:L1000)=A118)))),"Не найдено")</f>
        <v>0</v>
      </c>
      <c r="C118" s="6" cm="1">
        <f t="array" ref="C118">IFERROR(SUM(_xlfn.FILTER(_xlfn.VSTACK('Без этажа'!I3:I1000),(_xlfn.VSTACK('Без этажа'!K3:K1000)=A118)+(_xlfn.VSTACK('Без этажа'!L3:L1000)=A118)))+SUM(_xlfn.FILTER(_xlfn.VSTACK('Без этажа'!J3:J1000),(_xlfn.VSTACK('Без этажа'!K3:K1000)=A118)+(_xlfn.VSTACK('Без этажа'!L3:L1000)=A118))),0)</f>
        <v>0</v>
      </c>
      <c r="D118" s="6">
        <f>C118*1.1</f>
        <v>0</v>
      </c>
      <c r="E118" s="6" cm="1">
        <f t="array" ref="E118">IFERROR(SUM(_xlfn.FILTER((_xlfn.VSTACK('Без этажа'!D3:D1000)*1.005*((_xlfn.VSTACK('Без этажа'!D3:D1000))-(-32))*1.2/3600),(_xlfn.VSTACK('Без этажа'!K3:K1000)=A118)+(_xlfn.VSTACK('Без этажа'!L3:L1000)=A118))),0)</f>
        <v>0</v>
      </c>
      <c r="F118" s="4"/>
      <c r="G118" s="4"/>
      <c r="H118" s="4"/>
      <c r="I118" s="4"/>
      <c r="J118" s="4"/>
      <c r="K118" s="4"/>
      <c r="L118" s="6">
        <f>J118+K118</f>
        <v>0</v>
      </c>
      <c r="M118" s="4"/>
      <c r="N118" s="4"/>
      <c r="O118" s="4"/>
    </row>
    <row r="119" spans="1:15">
      <c r="A119" s="4" t="s">
        <v>111</v>
      </c>
      <c r="B119" s="4" cm="1">
        <f t="array" ref="B119">IFERROR(_xlfn.TEXTJOIN(", ",TRUE,_xlfn.UNIQUE(_xlfn.FILTER(_xlfn.VSTACK('Без этажа'!B3:B1000),(_xlfn.VSTACK('Без этажа'!K3:K1000)=A119)+(_xlfn.VSTACK('Без этажа'!L3:L1000)=A119)))),"Не найдено")</f>
        <v>0</v>
      </c>
      <c r="C119" s="6" cm="1">
        <f t="array" ref="C119">IFERROR(SUM(_xlfn.FILTER(_xlfn.VSTACK('Без этажа'!I3:I1000),(_xlfn.VSTACK('Без этажа'!K3:K1000)=A119)+(_xlfn.VSTACK('Без этажа'!L3:L1000)=A119)))+SUM(_xlfn.FILTER(_xlfn.VSTACK('Без этажа'!J3:J1000),(_xlfn.VSTACK('Без этажа'!K3:K1000)=A119)+(_xlfn.VSTACK('Без этажа'!L3:L1000)=A119))),0)</f>
        <v>0</v>
      </c>
      <c r="D119" s="6">
        <f>C119*1.1</f>
        <v>0</v>
      </c>
      <c r="E119" s="6" cm="1">
        <f t="array" ref="E119">IFERROR(SUM(_xlfn.FILTER((_xlfn.VSTACK('Без этажа'!D3:D1000)*1.005*((_xlfn.VSTACK('Без этажа'!D3:D1000))-(-32))*1.2/3600),(_xlfn.VSTACK('Без этажа'!K3:K1000)=A119)+(_xlfn.VSTACK('Без этажа'!L3:L1000)=A119))),0)</f>
        <v>0</v>
      </c>
      <c r="F119" s="4"/>
      <c r="G119" s="4"/>
      <c r="H119" s="4"/>
      <c r="I119" s="4"/>
      <c r="J119" s="4"/>
      <c r="K119" s="4"/>
      <c r="L119" s="6">
        <f>J119+K119</f>
        <v>0</v>
      </c>
      <c r="M119" s="4"/>
      <c r="N119" s="4"/>
      <c r="O119" s="4"/>
    </row>
    <row r="120" spans="1:15">
      <c r="A120" s="4" t="s">
        <v>111</v>
      </c>
      <c r="B120" s="4" cm="1">
        <f t="array" ref="B120">IFERROR(_xlfn.TEXTJOIN(", ",TRUE,_xlfn.UNIQUE(_xlfn.FILTER(_xlfn.VSTACK('Без этажа'!B3:B1000),(_xlfn.VSTACK('Без этажа'!K3:K1000)=A120)+(_xlfn.VSTACK('Без этажа'!L3:L1000)=A120)))),"Не найдено")</f>
        <v>0</v>
      </c>
      <c r="C120" s="6" cm="1">
        <f t="array" ref="C120">IFERROR(SUM(_xlfn.FILTER(_xlfn.VSTACK('Без этажа'!I3:I1000),(_xlfn.VSTACK('Без этажа'!K3:K1000)=A120)+(_xlfn.VSTACK('Без этажа'!L3:L1000)=A120)))+SUM(_xlfn.FILTER(_xlfn.VSTACK('Без этажа'!J3:J1000),(_xlfn.VSTACK('Без этажа'!K3:K1000)=A120)+(_xlfn.VSTACK('Без этажа'!L3:L1000)=A120))),0)</f>
        <v>0</v>
      </c>
      <c r="D120" s="6">
        <f>C120*1.1</f>
        <v>0</v>
      </c>
      <c r="E120" s="6" cm="1">
        <f t="array" ref="E120">IFERROR(SUM(_xlfn.FILTER((_xlfn.VSTACK('Без этажа'!D3:D1000)*1.005*((_xlfn.VSTACK('Без этажа'!D3:D1000))-(-32))*1.2/3600),(_xlfn.VSTACK('Без этажа'!K3:K1000)=A120)+(_xlfn.VSTACK('Без этажа'!L3:L1000)=A120))),0)</f>
        <v>0</v>
      </c>
      <c r="F120" s="4"/>
      <c r="G120" s="4"/>
      <c r="H120" s="4"/>
      <c r="I120" s="4"/>
      <c r="J120" s="4"/>
      <c r="K120" s="4"/>
      <c r="L120" s="6">
        <f>J120+K120</f>
        <v>0</v>
      </c>
      <c r="M120" s="4"/>
      <c r="N120" s="4"/>
      <c r="O120" s="4"/>
    </row>
    <row r="121" spans="1:15">
      <c r="A121" s="4" t="s">
        <v>111</v>
      </c>
      <c r="B121" s="4" cm="1">
        <f t="array" ref="B121">IFERROR(_xlfn.TEXTJOIN(", ",TRUE,_xlfn.UNIQUE(_xlfn.FILTER(_xlfn.VSTACK('Без этажа'!B3:B1000),(_xlfn.VSTACK('Без этажа'!K3:K1000)=A121)+(_xlfn.VSTACK('Без этажа'!L3:L1000)=A121)))),"Не найдено")</f>
        <v>0</v>
      </c>
      <c r="C121" s="6" cm="1">
        <f t="array" ref="C121">IFERROR(SUM(_xlfn.FILTER(_xlfn.VSTACK('Без этажа'!I3:I1000),(_xlfn.VSTACK('Без этажа'!K3:K1000)=A121)+(_xlfn.VSTACK('Без этажа'!L3:L1000)=A121)))+SUM(_xlfn.FILTER(_xlfn.VSTACK('Без этажа'!J3:J1000),(_xlfn.VSTACK('Без этажа'!K3:K1000)=A121)+(_xlfn.VSTACK('Без этажа'!L3:L1000)=A121))),0)</f>
        <v>0</v>
      </c>
      <c r="D121" s="6">
        <f>C121*1.1</f>
        <v>0</v>
      </c>
      <c r="E121" s="6" cm="1">
        <f t="array" ref="E121">IFERROR(SUM(_xlfn.FILTER((_xlfn.VSTACK('Без этажа'!D3:D1000)*1.005*((_xlfn.VSTACK('Без этажа'!D3:D1000))-(-32))*1.2/3600),(_xlfn.VSTACK('Без этажа'!K3:K1000)=A121)+(_xlfn.VSTACK('Без этажа'!L3:L1000)=A121))),0)</f>
        <v>0</v>
      </c>
      <c r="F121" s="4"/>
      <c r="G121" s="4"/>
      <c r="H121" s="4"/>
      <c r="I121" s="4"/>
      <c r="J121" s="4"/>
      <c r="K121" s="4"/>
      <c r="L121" s="6">
        <f>J121+K121</f>
        <v>0</v>
      </c>
      <c r="M121" s="4"/>
      <c r="N121" s="4"/>
      <c r="O121" s="4"/>
    </row>
    <row r="122" spans="1:15">
      <c r="A122" s="4" t="s">
        <v>111</v>
      </c>
      <c r="B122" s="4" cm="1">
        <f t="array" ref="B122">IFERROR(_xlfn.TEXTJOIN(", ",TRUE,_xlfn.UNIQUE(_xlfn.FILTER(_xlfn.VSTACK('Без этажа'!B3:B1000),(_xlfn.VSTACK('Без этажа'!K3:K1000)=A122)+(_xlfn.VSTACK('Без этажа'!L3:L1000)=A122)))),"Не найдено")</f>
        <v>0</v>
      </c>
      <c r="C122" s="6" cm="1">
        <f t="array" ref="C122">IFERROR(SUM(_xlfn.FILTER(_xlfn.VSTACK('Без этажа'!I3:I1000),(_xlfn.VSTACK('Без этажа'!K3:K1000)=A122)+(_xlfn.VSTACK('Без этажа'!L3:L1000)=A122)))+SUM(_xlfn.FILTER(_xlfn.VSTACK('Без этажа'!J3:J1000),(_xlfn.VSTACK('Без этажа'!K3:K1000)=A122)+(_xlfn.VSTACK('Без этажа'!L3:L1000)=A122))),0)</f>
        <v>0</v>
      </c>
      <c r="D122" s="6">
        <f>C122*1.1</f>
        <v>0</v>
      </c>
      <c r="E122" s="6" cm="1">
        <f t="array" ref="E122">IFERROR(SUM(_xlfn.FILTER((_xlfn.VSTACK('Без этажа'!D3:D1000)*1.005*((_xlfn.VSTACK('Без этажа'!D3:D1000))-(-32))*1.2/3600),(_xlfn.VSTACK('Без этажа'!K3:K1000)=A122)+(_xlfn.VSTACK('Без этажа'!L3:L1000)=A122))),0)</f>
        <v>0</v>
      </c>
      <c r="F122" s="4"/>
      <c r="G122" s="4"/>
      <c r="H122" s="4"/>
      <c r="I122" s="4"/>
      <c r="J122" s="4"/>
      <c r="K122" s="4"/>
      <c r="L122" s="6">
        <f>J122+K122</f>
        <v>0</v>
      </c>
      <c r="M122" s="4"/>
      <c r="N122" s="4"/>
      <c r="O122" s="4"/>
    </row>
    <row r="123" spans="1:15">
      <c r="A123" s="4" t="s">
        <v>111</v>
      </c>
      <c r="B123" s="4" cm="1">
        <f t="array" ref="B123">IFERROR(_xlfn.TEXTJOIN(", ",TRUE,_xlfn.UNIQUE(_xlfn.FILTER(_xlfn.VSTACK('Без этажа'!B3:B1000),(_xlfn.VSTACK('Без этажа'!K3:K1000)=A123)+(_xlfn.VSTACK('Без этажа'!L3:L1000)=A123)))),"Не найдено")</f>
        <v>0</v>
      </c>
      <c r="C123" s="6" cm="1">
        <f t="array" ref="C123">IFERROR(SUM(_xlfn.FILTER(_xlfn.VSTACK('Без этажа'!I3:I1000),(_xlfn.VSTACK('Без этажа'!K3:K1000)=A123)+(_xlfn.VSTACK('Без этажа'!L3:L1000)=A123)))+SUM(_xlfn.FILTER(_xlfn.VSTACK('Без этажа'!J3:J1000),(_xlfn.VSTACK('Без этажа'!K3:K1000)=A123)+(_xlfn.VSTACK('Без этажа'!L3:L1000)=A123))),0)</f>
        <v>0</v>
      </c>
      <c r="D123" s="6">
        <f>C123*1.1</f>
        <v>0</v>
      </c>
      <c r="E123" s="6" cm="1">
        <f t="array" ref="E123">IFERROR(SUM(_xlfn.FILTER((_xlfn.VSTACK('Без этажа'!D3:D1000)*1.005*((_xlfn.VSTACK('Без этажа'!D3:D1000))-(-32))*1.2/3600),(_xlfn.VSTACK('Без этажа'!K3:K1000)=A123)+(_xlfn.VSTACK('Без этажа'!L3:L1000)=A123))),0)</f>
        <v>0</v>
      </c>
      <c r="F123" s="4"/>
      <c r="G123" s="4"/>
      <c r="H123" s="4"/>
      <c r="I123" s="4"/>
      <c r="J123" s="4"/>
      <c r="K123" s="4"/>
      <c r="L123" s="6">
        <f>J123+K123</f>
        <v>0</v>
      </c>
      <c r="M123" s="4"/>
      <c r="N123" s="4"/>
      <c r="O123" s="4"/>
    </row>
    <row r="124" spans="1:15">
      <c r="A124" s="4" t="s">
        <v>111</v>
      </c>
      <c r="B124" s="4" cm="1">
        <f t="array" ref="B124">IFERROR(_xlfn.TEXTJOIN(", ",TRUE,_xlfn.UNIQUE(_xlfn.FILTER(_xlfn.VSTACK('Без этажа'!B3:B1000),(_xlfn.VSTACK('Без этажа'!K3:K1000)=A124)+(_xlfn.VSTACK('Без этажа'!L3:L1000)=A124)))),"Не найдено")</f>
        <v>0</v>
      </c>
      <c r="C124" s="6" cm="1">
        <f t="array" ref="C124">IFERROR(SUM(_xlfn.FILTER(_xlfn.VSTACK('Без этажа'!I3:I1000),(_xlfn.VSTACK('Без этажа'!K3:K1000)=A124)+(_xlfn.VSTACK('Без этажа'!L3:L1000)=A124)))+SUM(_xlfn.FILTER(_xlfn.VSTACK('Без этажа'!J3:J1000),(_xlfn.VSTACK('Без этажа'!K3:K1000)=A124)+(_xlfn.VSTACK('Без этажа'!L3:L1000)=A124))),0)</f>
        <v>0</v>
      </c>
      <c r="D124" s="6">
        <f>C124*1.1</f>
        <v>0</v>
      </c>
      <c r="E124" s="6" cm="1">
        <f t="array" ref="E124">IFERROR(SUM(_xlfn.FILTER((_xlfn.VSTACK('Без этажа'!D3:D1000)*1.005*((_xlfn.VSTACK('Без этажа'!D3:D1000))-(-32))*1.2/3600),(_xlfn.VSTACK('Без этажа'!K3:K1000)=A124)+(_xlfn.VSTACK('Без этажа'!L3:L1000)=A124))),0)</f>
        <v>0</v>
      </c>
      <c r="F124" s="4"/>
      <c r="G124" s="4"/>
      <c r="H124" s="4"/>
      <c r="I124" s="4"/>
      <c r="J124" s="4"/>
      <c r="K124" s="4"/>
      <c r="L124" s="6">
        <f>J124+K124</f>
        <v>0</v>
      </c>
      <c r="M124" s="4"/>
      <c r="N124" s="4"/>
      <c r="O124" s="4"/>
    </row>
    <row r="125" spans="1:15">
      <c r="A125" s="4" t="s">
        <v>111</v>
      </c>
      <c r="B125" s="4" cm="1">
        <f t="array" ref="B125">IFERROR(_xlfn.TEXTJOIN(", ",TRUE,_xlfn.UNIQUE(_xlfn.FILTER(_xlfn.VSTACK('Без этажа'!B3:B1000),(_xlfn.VSTACK('Без этажа'!K3:K1000)=A125)+(_xlfn.VSTACK('Без этажа'!L3:L1000)=A125)))),"Не найдено")</f>
        <v>0</v>
      </c>
      <c r="C125" s="6" cm="1">
        <f t="array" ref="C125">IFERROR(SUM(_xlfn.FILTER(_xlfn.VSTACK('Без этажа'!I3:I1000),(_xlfn.VSTACK('Без этажа'!K3:K1000)=A125)+(_xlfn.VSTACK('Без этажа'!L3:L1000)=A125)))+SUM(_xlfn.FILTER(_xlfn.VSTACK('Без этажа'!J3:J1000),(_xlfn.VSTACK('Без этажа'!K3:K1000)=A125)+(_xlfn.VSTACK('Без этажа'!L3:L1000)=A125))),0)</f>
        <v>0</v>
      </c>
      <c r="D125" s="6">
        <f>C125*1.1</f>
        <v>0</v>
      </c>
      <c r="E125" s="6" cm="1">
        <f t="array" ref="E125">IFERROR(SUM(_xlfn.FILTER((_xlfn.VSTACK('Без этажа'!D3:D1000)*1.005*((_xlfn.VSTACK('Без этажа'!D3:D1000))-(-32))*1.2/3600),(_xlfn.VSTACK('Без этажа'!K3:K1000)=A125)+(_xlfn.VSTACK('Без этажа'!L3:L1000)=A125))),0)</f>
        <v>0</v>
      </c>
      <c r="F125" s="4"/>
      <c r="G125" s="4"/>
      <c r="H125" s="4"/>
      <c r="I125" s="4"/>
      <c r="J125" s="4"/>
      <c r="K125" s="4"/>
      <c r="L125" s="6">
        <f>J125+K125</f>
        <v>0</v>
      </c>
      <c r="M125" s="4"/>
      <c r="N125" s="4"/>
      <c r="O125" s="4"/>
    </row>
    <row r="126" spans="1:15">
      <c r="A126" s="4" t="s">
        <v>111</v>
      </c>
      <c r="B126" s="4" cm="1">
        <f t="array" ref="B126">IFERROR(_xlfn.TEXTJOIN(", ",TRUE,_xlfn.UNIQUE(_xlfn.FILTER(_xlfn.VSTACK('Без этажа'!B3:B1000),(_xlfn.VSTACK('Без этажа'!K3:K1000)=A126)+(_xlfn.VSTACK('Без этажа'!L3:L1000)=A126)))),"Не найдено")</f>
        <v>0</v>
      </c>
      <c r="C126" s="6" cm="1">
        <f t="array" ref="C126">IFERROR(SUM(_xlfn.FILTER(_xlfn.VSTACK('Без этажа'!I3:I1000),(_xlfn.VSTACK('Без этажа'!K3:K1000)=A126)+(_xlfn.VSTACK('Без этажа'!L3:L1000)=A126)))+SUM(_xlfn.FILTER(_xlfn.VSTACK('Без этажа'!J3:J1000),(_xlfn.VSTACK('Без этажа'!K3:K1000)=A126)+(_xlfn.VSTACK('Без этажа'!L3:L1000)=A126))),0)</f>
        <v>0</v>
      </c>
      <c r="D126" s="6">
        <f>C126*1.1</f>
        <v>0</v>
      </c>
      <c r="E126" s="6" cm="1">
        <f t="array" ref="E126">IFERROR(SUM(_xlfn.FILTER((_xlfn.VSTACK('Без этажа'!D3:D1000)*1.005*((_xlfn.VSTACK('Без этажа'!D3:D1000))-(-32))*1.2/3600),(_xlfn.VSTACK('Без этажа'!K3:K1000)=A126)+(_xlfn.VSTACK('Без этажа'!L3:L1000)=A126))),0)</f>
        <v>0</v>
      </c>
      <c r="F126" s="4"/>
      <c r="G126" s="4"/>
      <c r="H126" s="4"/>
      <c r="I126" s="4"/>
      <c r="J126" s="4"/>
      <c r="K126" s="4"/>
      <c r="L126" s="6">
        <f>J126+K126</f>
        <v>0</v>
      </c>
      <c r="M126" s="4"/>
      <c r="N126" s="4"/>
      <c r="O126" s="4"/>
    </row>
    <row r="127" spans="1:15">
      <c r="A127" s="4" t="s">
        <v>111</v>
      </c>
      <c r="B127" s="4" cm="1">
        <f t="array" ref="B127">IFERROR(_xlfn.TEXTJOIN(", ",TRUE,_xlfn.UNIQUE(_xlfn.FILTER(_xlfn.VSTACK('Без этажа'!B3:B1000),(_xlfn.VSTACK('Без этажа'!K3:K1000)=A127)+(_xlfn.VSTACK('Без этажа'!L3:L1000)=A127)))),"Не найдено")</f>
        <v>0</v>
      </c>
      <c r="C127" s="6" cm="1">
        <f t="array" ref="C127">IFERROR(SUM(_xlfn.FILTER(_xlfn.VSTACK('Без этажа'!I3:I1000),(_xlfn.VSTACK('Без этажа'!K3:K1000)=A127)+(_xlfn.VSTACK('Без этажа'!L3:L1000)=A127)))+SUM(_xlfn.FILTER(_xlfn.VSTACK('Без этажа'!J3:J1000),(_xlfn.VSTACK('Без этажа'!K3:K1000)=A127)+(_xlfn.VSTACK('Без этажа'!L3:L1000)=A127))),0)</f>
        <v>0</v>
      </c>
      <c r="D127" s="6">
        <f>C127*1.1</f>
        <v>0</v>
      </c>
      <c r="E127" s="6" cm="1">
        <f t="array" ref="E127">IFERROR(SUM(_xlfn.FILTER((_xlfn.VSTACK('Без этажа'!D3:D1000)*1.005*((_xlfn.VSTACK('Без этажа'!D3:D1000))-(-32))*1.2/3600),(_xlfn.VSTACK('Без этажа'!K3:K1000)=A127)+(_xlfn.VSTACK('Без этажа'!L3:L1000)=A127))),0)</f>
        <v>0</v>
      </c>
      <c r="F127" s="4"/>
      <c r="G127" s="4"/>
      <c r="H127" s="4"/>
      <c r="I127" s="4"/>
      <c r="J127" s="4"/>
      <c r="K127" s="4"/>
      <c r="L127" s="6">
        <f>J127+K127</f>
        <v>0</v>
      </c>
      <c r="M127" s="4"/>
      <c r="N127" s="4"/>
      <c r="O127" s="4"/>
    </row>
    <row r="128" spans="1:15">
      <c r="A128" s="4" t="s">
        <v>111</v>
      </c>
      <c r="B128" s="4" cm="1">
        <f t="array" ref="B128">IFERROR(_xlfn.TEXTJOIN(", ",TRUE,_xlfn.UNIQUE(_xlfn.FILTER(_xlfn.VSTACK('Без этажа'!B3:B1000),(_xlfn.VSTACK('Без этажа'!K3:K1000)=A128)+(_xlfn.VSTACK('Без этажа'!L3:L1000)=A128)))),"Не найдено")</f>
        <v>0</v>
      </c>
      <c r="C128" s="6" cm="1">
        <f t="array" ref="C128">IFERROR(SUM(_xlfn.FILTER(_xlfn.VSTACK('Без этажа'!I3:I1000),(_xlfn.VSTACK('Без этажа'!K3:K1000)=A128)+(_xlfn.VSTACK('Без этажа'!L3:L1000)=A128)))+SUM(_xlfn.FILTER(_xlfn.VSTACK('Без этажа'!J3:J1000),(_xlfn.VSTACK('Без этажа'!K3:K1000)=A128)+(_xlfn.VSTACK('Без этажа'!L3:L1000)=A128))),0)</f>
        <v>0</v>
      </c>
      <c r="D128" s="6">
        <f>C128*1.1</f>
        <v>0</v>
      </c>
      <c r="E128" s="6" cm="1">
        <f t="array" ref="E128">IFERROR(SUM(_xlfn.FILTER((_xlfn.VSTACK('Без этажа'!D3:D1000)*1.005*((_xlfn.VSTACK('Без этажа'!D3:D1000))-(-32))*1.2/3600),(_xlfn.VSTACK('Без этажа'!K3:K1000)=A128)+(_xlfn.VSTACK('Без этажа'!L3:L1000)=A128))),0)</f>
        <v>0</v>
      </c>
      <c r="F128" s="4"/>
      <c r="G128" s="4"/>
      <c r="H128" s="4"/>
      <c r="I128" s="4"/>
      <c r="J128" s="4"/>
      <c r="K128" s="4"/>
      <c r="L128" s="6">
        <f>J128+K128</f>
        <v>0</v>
      </c>
      <c r="M128" s="4"/>
      <c r="N128" s="4"/>
      <c r="O128" s="4"/>
    </row>
    <row r="129" spans="1:15">
      <c r="A129" s="4" t="s">
        <v>111</v>
      </c>
      <c r="B129" s="4" cm="1">
        <f t="array" ref="B129">IFERROR(_xlfn.TEXTJOIN(", ",TRUE,_xlfn.UNIQUE(_xlfn.FILTER(_xlfn.VSTACK('Без этажа'!B3:B1000),(_xlfn.VSTACK('Без этажа'!K3:K1000)=A129)+(_xlfn.VSTACK('Без этажа'!L3:L1000)=A129)))),"Не найдено")</f>
        <v>0</v>
      </c>
      <c r="C129" s="6" cm="1">
        <f t="array" ref="C129">IFERROR(SUM(_xlfn.FILTER(_xlfn.VSTACK('Без этажа'!I3:I1000),(_xlfn.VSTACK('Без этажа'!K3:K1000)=A129)+(_xlfn.VSTACK('Без этажа'!L3:L1000)=A129)))+SUM(_xlfn.FILTER(_xlfn.VSTACK('Без этажа'!J3:J1000),(_xlfn.VSTACK('Без этажа'!K3:K1000)=A129)+(_xlfn.VSTACK('Без этажа'!L3:L1000)=A129))),0)</f>
        <v>0</v>
      </c>
      <c r="D129" s="6">
        <f>C129*1.1</f>
        <v>0</v>
      </c>
      <c r="E129" s="6" cm="1">
        <f t="array" ref="E129">IFERROR(SUM(_xlfn.FILTER((_xlfn.VSTACK('Без этажа'!D3:D1000)*1.005*((_xlfn.VSTACK('Без этажа'!D3:D1000))-(-32))*1.2/3600),(_xlfn.VSTACK('Без этажа'!K3:K1000)=A129)+(_xlfn.VSTACK('Без этажа'!L3:L1000)=A129))),0)</f>
        <v>0</v>
      </c>
      <c r="F129" s="4"/>
      <c r="G129" s="4"/>
      <c r="H129" s="4"/>
      <c r="I129" s="4"/>
      <c r="J129" s="4"/>
      <c r="K129" s="4"/>
      <c r="L129" s="6">
        <f>J129+K129</f>
        <v>0</v>
      </c>
      <c r="M129" s="4"/>
      <c r="N129" s="4"/>
      <c r="O129" s="4"/>
    </row>
    <row r="130" spans="1:15">
      <c r="A130" s="4" t="s">
        <v>111</v>
      </c>
      <c r="B130" s="4" cm="1">
        <f t="array" ref="B130">IFERROR(_xlfn.TEXTJOIN(", ",TRUE,_xlfn.UNIQUE(_xlfn.FILTER(_xlfn.VSTACK('Без этажа'!B3:B1000),(_xlfn.VSTACK('Без этажа'!K3:K1000)=A130)+(_xlfn.VSTACK('Без этажа'!L3:L1000)=A130)))),"Не найдено")</f>
        <v>0</v>
      </c>
      <c r="C130" s="6" cm="1">
        <f t="array" ref="C130">IFERROR(SUM(_xlfn.FILTER(_xlfn.VSTACK('Без этажа'!I3:I1000),(_xlfn.VSTACK('Без этажа'!K3:K1000)=A130)+(_xlfn.VSTACK('Без этажа'!L3:L1000)=A130)))+SUM(_xlfn.FILTER(_xlfn.VSTACK('Без этажа'!J3:J1000),(_xlfn.VSTACK('Без этажа'!K3:K1000)=A130)+(_xlfn.VSTACK('Без этажа'!L3:L1000)=A130))),0)</f>
        <v>0</v>
      </c>
      <c r="D130" s="6">
        <f>C130*1.1</f>
        <v>0</v>
      </c>
      <c r="E130" s="6" cm="1">
        <f t="array" ref="E130">IFERROR(SUM(_xlfn.FILTER((_xlfn.VSTACK('Без этажа'!D3:D1000)*1.005*((_xlfn.VSTACK('Без этажа'!D3:D1000))-(-32))*1.2/3600),(_xlfn.VSTACK('Без этажа'!K3:K1000)=A130)+(_xlfn.VSTACK('Без этажа'!L3:L1000)=A130))),0)</f>
        <v>0</v>
      </c>
      <c r="F130" s="4"/>
      <c r="G130" s="4"/>
      <c r="H130" s="4"/>
      <c r="I130" s="4"/>
      <c r="J130" s="4"/>
      <c r="K130" s="4"/>
      <c r="L130" s="6">
        <f>J130+K130</f>
        <v>0</v>
      </c>
      <c r="M130" s="4"/>
      <c r="N130" s="4"/>
      <c r="O130" s="4"/>
    </row>
    <row r="131" spans="1:15">
      <c r="A131" s="4" t="s">
        <v>111</v>
      </c>
      <c r="B131" s="4" cm="1">
        <f t="array" ref="B131">IFERROR(_xlfn.TEXTJOIN(", ",TRUE,_xlfn.UNIQUE(_xlfn.FILTER(_xlfn.VSTACK('Без этажа'!B3:B1000),(_xlfn.VSTACK('Без этажа'!K3:K1000)=A131)+(_xlfn.VSTACK('Без этажа'!L3:L1000)=A131)))),"Не найдено")</f>
        <v>0</v>
      </c>
      <c r="C131" s="6" cm="1">
        <f t="array" ref="C131">IFERROR(SUM(_xlfn.FILTER(_xlfn.VSTACK('Без этажа'!I3:I1000),(_xlfn.VSTACK('Без этажа'!K3:K1000)=A131)+(_xlfn.VSTACK('Без этажа'!L3:L1000)=A131)))+SUM(_xlfn.FILTER(_xlfn.VSTACK('Без этажа'!J3:J1000),(_xlfn.VSTACK('Без этажа'!K3:K1000)=A131)+(_xlfn.VSTACK('Без этажа'!L3:L1000)=A131))),0)</f>
        <v>0</v>
      </c>
      <c r="D131" s="6">
        <f>C131*1.1</f>
        <v>0</v>
      </c>
      <c r="E131" s="6" cm="1">
        <f t="array" ref="E131">IFERROR(SUM(_xlfn.FILTER((_xlfn.VSTACK('Без этажа'!D3:D1000)*1.005*((_xlfn.VSTACK('Без этажа'!D3:D1000))-(-32))*1.2/3600),(_xlfn.VSTACK('Без этажа'!K3:K1000)=A131)+(_xlfn.VSTACK('Без этажа'!L3:L1000)=A131))),0)</f>
        <v>0</v>
      </c>
      <c r="F131" s="4"/>
      <c r="G131" s="4"/>
      <c r="H131" s="4"/>
      <c r="I131" s="4"/>
      <c r="J131" s="4"/>
      <c r="K131" s="4"/>
      <c r="L131" s="6">
        <f>J131+K131</f>
        <v>0</v>
      </c>
      <c r="M131" s="4"/>
      <c r="N131" s="4"/>
      <c r="O131" s="4"/>
    </row>
    <row r="132" spans="1:15">
      <c r="A132" s="4" t="s">
        <v>111</v>
      </c>
      <c r="B132" s="4" cm="1">
        <f t="array" ref="B132">IFERROR(_xlfn.TEXTJOIN(", ",TRUE,_xlfn.UNIQUE(_xlfn.FILTER(_xlfn.VSTACK('Без этажа'!B3:B1000),(_xlfn.VSTACK('Без этажа'!K3:K1000)=A132)+(_xlfn.VSTACK('Без этажа'!L3:L1000)=A132)))),"Не найдено")</f>
        <v>0</v>
      </c>
      <c r="C132" s="6" cm="1">
        <f t="array" ref="C132">IFERROR(SUM(_xlfn.FILTER(_xlfn.VSTACK('Без этажа'!I3:I1000),(_xlfn.VSTACK('Без этажа'!K3:K1000)=A132)+(_xlfn.VSTACK('Без этажа'!L3:L1000)=A132)))+SUM(_xlfn.FILTER(_xlfn.VSTACK('Без этажа'!J3:J1000),(_xlfn.VSTACK('Без этажа'!K3:K1000)=A132)+(_xlfn.VSTACK('Без этажа'!L3:L1000)=A132))),0)</f>
        <v>0</v>
      </c>
      <c r="D132" s="6">
        <f>C132*1.1</f>
        <v>0</v>
      </c>
      <c r="E132" s="6" cm="1">
        <f t="array" ref="E132">IFERROR(SUM(_xlfn.FILTER((_xlfn.VSTACK('Без этажа'!D3:D1000)*1.005*((_xlfn.VSTACK('Без этажа'!D3:D1000))-(-32))*1.2/3600),(_xlfn.VSTACK('Без этажа'!K3:K1000)=A132)+(_xlfn.VSTACK('Без этажа'!L3:L1000)=A132))),0)</f>
        <v>0</v>
      </c>
      <c r="F132" s="4"/>
      <c r="G132" s="4"/>
      <c r="H132" s="4"/>
      <c r="I132" s="4"/>
      <c r="J132" s="4"/>
      <c r="K132" s="4"/>
      <c r="L132" s="6">
        <f>J132+K132</f>
        <v>0</v>
      </c>
      <c r="M132" s="4"/>
      <c r="N132" s="4"/>
      <c r="O132" s="4"/>
    </row>
    <row r="133" spans="1:15">
      <c r="A133" s="4" t="s">
        <v>111</v>
      </c>
      <c r="B133" s="4" cm="1">
        <f t="array" ref="B133">IFERROR(_xlfn.TEXTJOIN(", ",TRUE,_xlfn.UNIQUE(_xlfn.FILTER(_xlfn.VSTACK('Без этажа'!B3:B1000),(_xlfn.VSTACK('Без этажа'!K3:K1000)=A133)+(_xlfn.VSTACK('Без этажа'!L3:L1000)=A133)))),"Не найдено")</f>
        <v>0</v>
      </c>
      <c r="C133" s="6" cm="1">
        <f t="array" ref="C133">IFERROR(SUM(_xlfn.FILTER(_xlfn.VSTACK('Без этажа'!I3:I1000),(_xlfn.VSTACK('Без этажа'!K3:K1000)=A133)+(_xlfn.VSTACK('Без этажа'!L3:L1000)=A133)))+SUM(_xlfn.FILTER(_xlfn.VSTACK('Без этажа'!J3:J1000),(_xlfn.VSTACK('Без этажа'!K3:K1000)=A133)+(_xlfn.VSTACK('Без этажа'!L3:L1000)=A133))),0)</f>
        <v>0</v>
      </c>
      <c r="D133" s="6">
        <f>C133*1.1</f>
        <v>0</v>
      </c>
      <c r="E133" s="6" cm="1">
        <f t="array" ref="E133">IFERROR(SUM(_xlfn.FILTER((_xlfn.VSTACK('Без этажа'!D3:D1000)*1.005*((_xlfn.VSTACK('Без этажа'!D3:D1000))-(-32))*1.2/3600),(_xlfn.VSTACK('Без этажа'!K3:K1000)=A133)+(_xlfn.VSTACK('Без этажа'!L3:L1000)=A133))),0)</f>
        <v>0</v>
      </c>
      <c r="F133" s="4"/>
      <c r="G133" s="4"/>
      <c r="H133" s="4"/>
      <c r="I133" s="4"/>
      <c r="J133" s="4"/>
      <c r="K133" s="4"/>
      <c r="L133" s="6">
        <f>J133+K133</f>
        <v>0</v>
      </c>
      <c r="M133" s="4"/>
      <c r="N133" s="4"/>
      <c r="O133" s="4"/>
    </row>
    <row r="134" spans="1:15">
      <c r="A134" s="4" t="s">
        <v>111</v>
      </c>
      <c r="B134" s="4" cm="1">
        <f t="array" ref="B134">IFERROR(_xlfn.TEXTJOIN(", ",TRUE,_xlfn.UNIQUE(_xlfn.FILTER(_xlfn.VSTACK('Без этажа'!B3:B1000),(_xlfn.VSTACK('Без этажа'!K3:K1000)=A134)+(_xlfn.VSTACK('Без этажа'!L3:L1000)=A134)))),"Не найдено")</f>
        <v>0</v>
      </c>
      <c r="C134" s="6" cm="1">
        <f t="array" ref="C134">IFERROR(SUM(_xlfn.FILTER(_xlfn.VSTACK('Без этажа'!I3:I1000),(_xlfn.VSTACK('Без этажа'!K3:K1000)=A134)+(_xlfn.VSTACK('Без этажа'!L3:L1000)=A134)))+SUM(_xlfn.FILTER(_xlfn.VSTACK('Без этажа'!J3:J1000),(_xlfn.VSTACK('Без этажа'!K3:K1000)=A134)+(_xlfn.VSTACK('Без этажа'!L3:L1000)=A134))),0)</f>
        <v>0</v>
      </c>
      <c r="D134" s="6">
        <f>C134*1.1</f>
        <v>0</v>
      </c>
      <c r="E134" s="6" cm="1">
        <f t="array" ref="E134">IFERROR(SUM(_xlfn.FILTER((_xlfn.VSTACK('Без этажа'!D3:D1000)*1.005*((_xlfn.VSTACK('Без этажа'!D3:D1000))-(-32))*1.2/3600),(_xlfn.VSTACK('Без этажа'!K3:K1000)=A134)+(_xlfn.VSTACK('Без этажа'!L3:L1000)=A134))),0)</f>
        <v>0</v>
      </c>
      <c r="F134" s="4"/>
      <c r="G134" s="4"/>
      <c r="H134" s="4"/>
      <c r="I134" s="4"/>
      <c r="J134" s="4"/>
      <c r="K134" s="4"/>
      <c r="L134" s="6">
        <f>J134+K134</f>
        <v>0</v>
      </c>
      <c r="M134" s="4"/>
      <c r="N134" s="4"/>
      <c r="O134" s="4"/>
    </row>
    <row r="135" spans="1:15">
      <c r="A135" s="4" t="s">
        <v>111</v>
      </c>
      <c r="B135" s="4" cm="1">
        <f t="array" ref="B135">IFERROR(_xlfn.TEXTJOIN(", ",TRUE,_xlfn.UNIQUE(_xlfn.FILTER(_xlfn.VSTACK('Без этажа'!B3:B1000),(_xlfn.VSTACK('Без этажа'!K3:K1000)=A135)+(_xlfn.VSTACK('Без этажа'!L3:L1000)=A135)))),"Не найдено")</f>
        <v>0</v>
      </c>
      <c r="C135" s="6" cm="1">
        <f t="array" ref="C135">IFERROR(SUM(_xlfn.FILTER(_xlfn.VSTACK('Без этажа'!I3:I1000),(_xlfn.VSTACK('Без этажа'!K3:K1000)=A135)+(_xlfn.VSTACK('Без этажа'!L3:L1000)=A135)))+SUM(_xlfn.FILTER(_xlfn.VSTACK('Без этажа'!J3:J1000),(_xlfn.VSTACK('Без этажа'!K3:K1000)=A135)+(_xlfn.VSTACK('Без этажа'!L3:L1000)=A135))),0)</f>
        <v>0</v>
      </c>
      <c r="D135" s="6">
        <f>C135*1.1</f>
        <v>0</v>
      </c>
      <c r="E135" s="6" cm="1">
        <f t="array" ref="E135">IFERROR(SUM(_xlfn.FILTER((_xlfn.VSTACK('Без этажа'!D3:D1000)*1.005*((_xlfn.VSTACK('Без этажа'!D3:D1000))-(-32))*1.2/3600),(_xlfn.VSTACK('Без этажа'!K3:K1000)=A135)+(_xlfn.VSTACK('Без этажа'!L3:L1000)=A135))),0)</f>
        <v>0</v>
      </c>
      <c r="F135" s="4"/>
      <c r="G135" s="4"/>
      <c r="H135" s="4"/>
      <c r="I135" s="4"/>
      <c r="J135" s="4"/>
      <c r="K135" s="4"/>
      <c r="L135" s="6">
        <f>J135+K135</f>
        <v>0</v>
      </c>
      <c r="M135" s="4"/>
      <c r="N135" s="4"/>
      <c r="O135" s="4"/>
    </row>
    <row r="136" spans="1:15">
      <c r="A136" s="4" t="s">
        <v>111</v>
      </c>
      <c r="B136" s="4" cm="1">
        <f t="array" ref="B136">IFERROR(_xlfn.TEXTJOIN(", ",TRUE,_xlfn.UNIQUE(_xlfn.FILTER(_xlfn.VSTACK('Без этажа'!B3:B1000),(_xlfn.VSTACK('Без этажа'!K3:K1000)=A136)+(_xlfn.VSTACK('Без этажа'!L3:L1000)=A136)))),"Не найдено")</f>
        <v>0</v>
      </c>
      <c r="C136" s="6" cm="1">
        <f t="array" ref="C136">IFERROR(SUM(_xlfn.FILTER(_xlfn.VSTACK('Без этажа'!I3:I1000),(_xlfn.VSTACK('Без этажа'!K3:K1000)=A136)+(_xlfn.VSTACK('Без этажа'!L3:L1000)=A136)))+SUM(_xlfn.FILTER(_xlfn.VSTACK('Без этажа'!J3:J1000),(_xlfn.VSTACK('Без этажа'!K3:K1000)=A136)+(_xlfn.VSTACK('Без этажа'!L3:L1000)=A136))),0)</f>
        <v>0</v>
      </c>
      <c r="D136" s="6">
        <f>C136*1.1</f>
        <v>0</v>
      </c>
      <c r="E136" s="6" cm="1">
        <f t="array" ref="E136">IFERROR(SUM(_xlfn.FILTER((_xlfn.VSTACK('Без этажа'!D3:D1000)*1.005*((_xlfn.VSTACK('Без этажа'!D3:D1000))-(-32))*1.2/3600),(_xlfn.VSTACK('Без этажа'!K3:K1000)=A136)+(_xlfn.VSTACK('Без этажа'!L3:L1000)=A136))),0)</f>
        <v>0</v>
      </c>
      <c r="F136" s="4"/>
      <c r="G136" s="4"/>
      <c r="H136" s="4"/>
      <c r="I136" s="4"/>
      <c r="J136" s="4"/>
      <c r="K136" s="4"/>
      <c r="L136" s="6">
        <f>J136+K136</f>
        <v>0</v>
      </c>
      <c r="M136" s="4"/>
      <c r="N136" s="4"/>
      <c r="O136" s="4"/>
    </row>
    <row r="137" spans="1:15">
      <c r="A137" s="4" t="s">
        <v>111</v>
      </c>
      <c r="B137" s="4" cm="1">
        <f t="array" ref="B137">IFERROR(_xlfn.TEXTJOIN(", ",TRUE,_xlfn.UNIQUE(_xlfn.FILTER(_xlfn.VSTACK('Без этажа'!B3:B1000),(_xlfn.VSTACK('Без этажа'!K3:K1000)=A137)+(_xlfn.VSTACK('Без этажа'!L3:L1000)=A137)))),"Не найдено")</f>
        <v>0</v>
      </c>
      <c r="C137" s="6" cm="1">
        <f t="array" ref="C137">IFERROR(SUM(_xlfn.FILTER(_xlfn.VSTACK('Без этажа'!I3:I1000),(_xlfn.VSTACK('Без этажа'!K3:K1000)=A137)+(_xlfn.VSTACK('Без этажа'!L3:L1000)=A137)))+SUM(_xlfn.FILTER(_xlfn.VSTACK('Без этажа'!J3:J1000),(_xlfn.VSTACK('Без этажа'!K3:K1000)=A137)+(_xlfn.VSTACK('Без этажа'!L3:L1000)=A137))),0)</f>
        <v>0</v>
      </c>
      <c r="D137" s="6">
        <f>C137*1.1</f>
        <v>0</v>
      </c>
      <c r="E137" s="6" cm="1">
        <f t="array" ref="E137">IFERROR(SUM(_xlfn.FILTER((_xlfn.VSTACK('Без этажа'!D3:D1000)*1.005*((_xlfn.VSTACK('Без этажа'!D3:D1000))-(-32))*1.2/3600),(_xlfn.VSTACK('Без этажа'!K3:K1000)=A137)+(_xlfn.VSTACK('Без этажа'!L3:L1000)=A137))),0)</f>
        <v>0</v>
      </c>
      <c r="F137" s="4"/>
      <c r="G137" s="4"/>
      <c r="H137" s="4"/>
      <c r="I137" s="4"/>
      <c r="J137" s="4"/>
      <c r="K137" s="4"/>
      <c r="L137" s="6">
        <f>J137+K137</f>
        <v>0</v>
      </c>
      <c r="M137" s="4"/>
      <c r="N137" s="4"/>
      <c r="O137" s="4"/>
    </row>
    <row r="138" spans="1:15">
      <c r="A138" s="4" t="s">
        <v>111</v>
      </c>
      <c r="B138" s="4" cm="1">
        <f t="array" ref="B138">IFERROR(_xlfn.TEXTJOIN(", ",TRUE,_xlfn.UNIQUE(_xlfn.FILTER(_xlfn.VSTACK('Без этажа'!B3:B1000),(_xlfn.VSTACK('Без этажа'!K3:K1000)=A138)+(_xlfn.VSTACK('Без этажа'!L3:L1000)=A138)))),"Не найдено")</f>
        <v>0</v>
      </c>
      <c r="C138" s="6" cm="1">
        <f t="array" ref="C138">IFERROR(SUM(_xlfn.FILTER(_xlfn.VSTACK('Без этажа'!I3:I1000),(_xlfn.VSTACK('Без этажа'!K3:K1000)=A138)+(_xlfn.VSTACK('Без этажа'!L3:L1000)=A138)))+SUM(_xlfn.FILTER(_xlfn.VSTACK('Без этажа'!J3:J1000),(_xlfn.VSTACK('Без этажа'!K3:K1000)=A138)+(_xlfn.VSTACK('Без этажа'!L3:L1000)=A138))),0)</f>
        <v>0</v>
      </c>
      <c r="D138" s="6">
        <f>C138*1.1</f>
        <v>0</v>
      </c>
      <c r="E138" s="6" cm="1">
        <f t="array" ref="E138">IFERROR(SUM(_xlfn.FILTER((_xlfn.VSTACK('Без этажа'!D3:D1000)*1.005*((_xlfn.VSTACK('Без этажа'!D3:D1000))-(-32))*1.2/3600),(_xlfn.VSTACK('Без этажа'!K3:K1000)=A138)+(_xlfn.VSTACK('Без этажа'!L3:L1000)=A138))),0)</f>
        <v>0</v>
      </c>
      <c r="F138" s="4"/>
      <c r="G138" s="4"/>
      <c r="H138" s="4"/>
      <c r="I138" s="4"/>
      <c r="J138" s="4"/>
      <c r="K138" s="4"/>
      <c r="L138" s="6">
        <f>J138+K138</f>
        <v>0</v>
      </c>
      <c r="M138" s="4"/>
      <c r="N138" s="4"/>
      <c r="O138" s="4"/>
    </row>
    <row r="139" spans="1:15">
      <c r="A139" s="4" t="s">
        <v>111</v>
      </c>
      <c r="B139" s="4" cm="1">
        <f t="array" ref="B139">IFERROR(_xlfn.TEXTJOIN(", ",TRUE,_xlfn.UNIQUE(_xlfn.FILTER(_xlfn.VSTACK('Без этажа'!B3:B1000),(_xlfn.VSTACK('Без этажа'!K3:K1000)=A139)+(_xlfn.VSTACK('Без этажа'!L3:L1000)=A139)))),"Не найдено")</f>
        <v>0</v>
      </c>
      <c r="C139" s="6" cm="1">
        <f t="array" ref="C139">IFERROR(SUM(_xlfn.FILTER(_xlfn.VSTACK('Без этажа'!I3:I1000),(_xlfn.VSTACK('Без этажа'!K3:K1000)=A139)+(_xlfn.VSTACK('Без этажа'!L3:L1000)=A139)))+SUM(_xlfn.FILTER(_xlfn.VSTACK('Без этажа'!J3:J1000),(_xlfn.VSTACK('Без этажа'!K3:K1000)=A139)+(_xlfn.VSTACK('Без этажа'!L3:L1000)=A139))),0)</f>
        <v>0</v>
      </c>
      <c r="D139" s="6">
        <f>C139*1.1</f>
        <v>0</v>
      </c>
      <c r="E139" s="6" cm="1">
        <f t="array" ref="E139">IFERROR(SUM(_xlfn.FILTER((_xlfn.VSTACK('Без этажа'!D3:D1000)*1.005*((_xlfn.VSTACK('Без этажа'!D3:D1000))-(-32))*1.2/3600),(_xlfn.VSTACK('Без этажа'!K3:K1000)=A139)+(_xlfn.VSTACK('Без этажа'!L3:L1000)=A139))),0)</f>
        <v>0</v>
      </c>
      <c r="F139" s="4"/>
      <c r="G139" s="4"/>
      <c r="H139" s="4"/>
      <c r="I139" s="4"/>
      <c r="J139" s="4"/>
      <c r="K139" s="4"/>
      <c r="L139" s="6">
        <f>J139+K139</f>
        <v>0</v>
      </c>
      <c r="M139" s="4"/>
      <c r="N139" s="4"/>
      <c r="O139" s="4"/>
    </row>
    <row r="140" spans="1:15">
      <c r="A140" s="4" t="s">
        <v>111</v>
      </c>
      <c r="B140" s="4" cm="1">
        <f t="array" ref="B140">IFERROR(_xlfn.TEXTJOIN(", ",TRUE,_xlfn.UNIQUE(_xlfn.FILTER(_xlfn.VSTACK('Без этажа'!B3:B1000),(_xlfn.VSTACK('Без этажа'!K3:K1000)=A140)+(_xlfn.VSTACK('Без этажа'!L3:L1000)=A140)))),"Не найдено")</f>
        <v>0</v>
      </c>
      <c r="C140" s="6" cm="1">
        <f t="array" ref="C140">IFERROR(SUM(_xlfn.FILTER(_xlfn.VSTACK('Без этажа'!I3:I1000),(_xlfn.VSTACK('Без этажа'!K3:K1000)=A140)+(_xlfn.VSTACK('Без этажа'!L3:L1000)=A140)))+SUM(_xlfn.FILTER(_xlfn.VSTACK('Без этажа'!J3:J1000),(_xlfn.VSTACK('Без этажа'!K3:K1000)=A140)+(_xlfn.VSTACK('Без этажа'!L3:L1000)=A140))),0)</f>
        <v>0</v>
      </c>
      <c r="D140" s="6">
        <f>C140*1.1</f>
        <v>0</v>
      </c>
      <c r="E140" s="6" cm="1">
        <f t="array" ref="E140">IFERROR(SUM(_xlfn.FILTER((_xlfn.VSTACK('Без этажа'!D3:D1000)*1.005*((_xlfn.VSTACK('Без этажа'!D3:D1000))-(-32))*1.2/3600),(_xlfn.VSTACK('Без этажа'!K3:K1000)=A140)+(_xlfn.VSTACK('Без этажа'!L3:L1000)=A140))),0)</f>
        <v>0</v>
      </c>
      <c r="F140" s="4"/>
      <c r="G140" s="4"/>
      <c r="H140" s="4"/>
      <c r="I140" s="4"/>
      <c r="J140" s="4"/>
      <c r="K140" s="4"/>
      <c r="L140" s="6">
        <f>J140+K140</f>
        <v>0</v>
      </c>
      <c r="M140" s="4"/>
      <c r="N140" s="4"/>
      <c r="O140" s="4"/>
    </row>
    <row r="141" spans="1:15">
      <c r="A141" s="4" t="s">
        <v>111</v>
      </c>
      <c r="B141" s="4" cm="1">
        <f t="array" ref="B141">IFERROR(_xlfn.TEXTJOIN(", ",TRUE,_xlfn.UNIQUE(_xlfn.FILTER(_xlfn.VSTACK('Без этажа'!B3:B1000),(_xlfn.VSTACK('Без этажа'!K3:K1000)=A141)+(_xlfn.VSTACK('Без этажа'!L3:L1000)=A141)))),"Не найдено")</f>
        <v>0</v>
      </c>
      <c r="C141" s="6" cm="1">
        <f t="array" ref="C141">IFERROR(SUM(_xlfn.FILTER(_xlfn.VSTACK('Без этажа'!I3:I1000),(_xlfn.VSTACK('Без этажа'!K3:K1000)=A141)+(_xlfn.VSTACK('Без этажа'!L3:L1000)=A141)))+SUM(_xlfn.FILTER(_xlfn.VSTACK('Без этажа'!J3:J1000),(_xlfn.VSTACK('Без этажа'!K3:K1000)=A141)+(_xlfn.VSTACK('Без этажа'!L3:L1000)=A141))),0)</f>
        <v>0</v>
      </c>
      <c r="D141" s="6">
        <f>C141*1.1</f>
        <v>0</v>
      </c>
      <c r="E141" s="6" cm="1">
        <f t="array" ref="E141">IFERROR(SUM(_xlfn.FILTER((_xlfn.VSTACK('Без этажа'!D3:D1000)*1.005*((_xlfn.VSTACK('Без этажа'!D3:D1000))-(-32))*1.2/3600),(_xlfn.VSTACK('Без этажа'!K3:K1000)=A141)+(_xlfn.VSTACK('Без этажа'!L3:L1000)=A141))),0)</f>
        <v>0</v>
      </c>
      <c r="F141" s="4"/>
      <c r="G141" s="4"/>
      <c r="H141" s="4"/>
      <c r="I141" s="4"/>
      <c r="J141" s="4"/>
      <c r="K141" s="4"/>
      <c r="L141" s="6">
        <f>J141+K141</f>
        <v>0</v>
      </c>
      <c r="M141" s="4"/>
      <c r="N141" s="4"/>
      <c r="O141" s="4"/>
    </row>
    <row r="142" spans="1:15">
      <c r="A142" s="4" t="s">
        <v>111</v>
      </c>
      <c r="B142" s="4" cm="1">
        <f t="array" ref="B142">IFERROR(_xlfn.TEXTJOIN(", ",TRUE,_xlfn.UNIQUE(_xlfn.FILTER(_xlfn.VSTACK('Без этажа'!B3:B1000),(_xlfn.VSTACK('Без этажа'!K3:K1000)=A142)+(_xlfn.VSTACK('Без этажа'!L3:L1000)=A142)))),"Не найдено")</f>
        <v>0</v>
      </c>
      <c r="C142" s="6" cm="1">
        <f t="array" ref="C142">IFERROR(SUM(_xlfn.FILTER(_xlfn.VSTACK('Без этажа'!I3:I1000),(_xlfn.VSTACK('Без этажа'!K3:K1000)=A142)+(_xlfn.VSTACK('Без этажа'!L3:L1000)=A142)))+SUM(_xlfn.FILTER(_xlfn.VSTACK('Без этажа'!J3:J1000),(_xlfn.VSTACK('Без этажа'!K3:K1000)=A142)+(_xlfn.VSTACK('Без этажа'!L3:L1000)=A142))),0)</f>
        <v>0</v>
      </c>
      <c r="D142" s="6">
        <f>C142*1.1</f>
        <v>0</v>
      </c>
      <c r="E142" s="6" cm="1">
        <f t="array" ref="E142">IFERROR(SUM(_xlfn.FILTER((_xlfn.VSTACK('Без этажа'!D3:D1000)*1.005*((_xlfn.VSTACK('Без этажа'!D3:D1000))-(-32))*1.2/3600),(_xlfn.VSTACK('Без этажа'!K3:K1000)=A142)+(_xlfn.VSTACK('Без этажа'!L3:L1000)=A142))),0)</f>
        <v>0</v>
      </c>
      <c r="F142" s="4"/>
      <c r="G142" s="4"/>
      <c r="H142" s="4"/>
      <c r="I142" s="4"/>
      <c r="J142" s="4"/>
      <c r="K142" s="4"/>
      <c r="L142" s="6">
        <f>J142+K142</f>
        <v>0</v>
      </c>
      <c r="M142" s="4"/>
      <c r="N142" s="4"/>
      <c r="O142" s="4"/>
    </row>
    <row r="143" spans="1:15">
      <c r="A143" s="4" t="s">
        <v>111</v>
      </c>
      <c r="B143" s="4" cm="1">
        <f t="array" ref="B143">IFERROR(_xlfn.TEXTJOIN(", ",TRUE,_xlfn.UNIQUE(_xlfn.FILTER(_xlfn.VSTACK('Без этажа'!B3:B1000),(_xlfn.VSTACK('Без этажа'!K3:K1000)=A143)+(_xlfn.VSTACK('Без этажа'!L3:L1000)=A143)))),"Не найдено")</f>
        <v>0</v>
      </c>
      <c r="C143" s="6" cm="1">
        <f t="array" ref="C143">IFERROR(SUM(_xlfn.FILTER(_xlfn.VSTACK('Без этажа'!I3:I1000),(_xlfn.VSTACK('Без этажа'!K3:K1000)=A143)+(_xlfn.VSTACK('Без этажа'!L3:L1000)=A143)))+SUM(_xlfn.FILTER(_xlfn.VSTACK('Без этажа'!J3:J1000),(_xlfn.VSTACK('Без этажа'!K3:K1000)=A143)+(_xlfn.VSTACK('Без этажа'!L3:L1000)=A143))),0)</f>
        <v>0</v>
      </c>
      <c r="D143" s="6">
        <f>C143*1.1</f>
        <v>0</v>
      </c>
      <c r="E143" s="6" cm="1">
        <f t="array" ref="E143">IFERROR(SUM(_xlfn.FILTER((_xlfn.VSTACK('Без этажа'!D3:D1000)*1.005*((_xlfn.VSTACK('Без этажа'!D3:D1000))-(-32))*1.2/3600),(_xlfn.VSTACK('Без этажа'!K3:K1000)=A143)+(_xlfn.VSTACK('Без этажа'!L3:L1000)=A143))),0)</f>
        <v>0</v>
      </c>
      <c r="F143" s="4"/>
      <c r="G143" s="4"/>
      <c r="H143" s="4"/>
      <c r="I143" s="4"/>
      <c r="J143" s="4"/>
      <c r="K143" s="4"/>
      <c r="L143" s="6">
        <f>J143+K143</f>
        <v>0</v>
      </c>
      <c r="M143" s="4"/>
      <c r="N143" s="4"/>
      <c r="O143" s="4"/>
    </row>
    <row r="144" spans="1:15">
      <c r="A144" s="4" t="s">
        <v>111</v>
      </c>
      <c r="B144" s="4" cm="1">
        <f t="array" ref="B144">IFERROR(_xlfn.TEXTJOIN(", ",TRUE,_xlfn.UNIQUE(_xlfn.FILTER(_xlfn.VSTACK('Без этажа'!B3:B1000),(_xlfn.VSTACK('Без этажа'!K3:K1000)=A144)+(_xlfn.VSTACK('Без этажа'!L3:L1000)=A144)))),"Не найдено")</f>
        <v>0</v>
      </c>
      <c r="C144" s="6" cm="1">
        <f t="array" ref="C144">IFERROR(SUM(_xlfn.FILTER(_xlfn.VSTACK('Без этажа'!I3:I1000),(_xlfn.VSTACK('Без этажа'!K3:K1000)=A144)+(_xlfn.VSTACK('Без этажа'!L3:L1000)=A144)))+SUM(_xlfn.FILTER(_xlfn.VSTACK('Без этажа'!J3:J1000),(_xlfn.VSTACK('Без этажа'!K3:K1000)=A144)+(_xlfn.VSTACK('Без этажа'!L3:L1000)=A144))),0)</f>
        <v>0</v>
      </c>
      <c r="D144" s="6">
        <f>C144*1.1</f>
        <v>0</v>
      </c>
      <c r="E144" s="6" cm="1">
        <f t="array" ref="E144">IFERROR(SUM(_xlfn.FILTER((_xlfn.VSTACK('Без этажа'!D3:D1000)*1.005*((_xlfn.VSTACK('Без этажа'!D3:D1000))-(-32))*1.2/3600),(_xlfn.VSTACK('Без этажа'!K3:K1000)=A144)+(_xlfn.VSTACK('Без этажа'!L3:L1000)=A144))),0)</f>
        <v>0</v>
      </c>
      <c r="F144" s="4"/>
      <c r="G144" s="4"/>
      <c r="H144" s="4"/>
      <c r="I144" s="4"/>
      <c r="J144" s="4"/>
      <c r="K144" s="4"/>
      <c r="L144" s="6">
        <f>J144+K144</f>
        <v>0</v>
      </c>
      <c r="M144" s="4"/>
      <c r="N144" s="4"/>
      <c r="O144" s="4"/>
    </row>
    <row r="145" spans="1:15">
      <c r="A145" s="4" t="s">
        <v>111</v>
      </c>
      <c r="B145" s="4" cm="1">
        <f t="array" ref="B145">IFERROR(_xlfn.TEXTJOIN(", ",TRUE,_xlfn.UNIQUE(_xlfn.FILTER(_xlfn.VSTACK('Без этажа'!B3:B1000),(_xlfn.VSTACK('Без этажа'!K3:K1000)=A145)+(_xlfn.VSTACK('Без этажа'!L3:L1000)=A145)))),"Не найдено")</f>
        <v>0</v>
      </c>
      <c r="C145" s="6" cm="1">
        <f t="array" ref="C145">IFERROR(SUM(_xlfn.FILTER(_xlfn.VSTACK('Без этажа'!I3:I1000),(_xlfn.VSTACK('Без этажа'!K3:K1000)=A145)+(_xlfn.VSTACK('Без этажа'!L3:L1000)=A145)))+SUM(_xlfn.FILTER(_xlfn.VSTACK('Без этажа'!J3:J1000),(_xlfn.VSTACK('Без этажа'!K3:K1000)=A145)+(_xlfn.VSTACK('Без этажа'!L3:L1000)=A145))),0)</f>
        <v>0</v>
      </c>
      <c r="D145" s="6">
        <f>C145*1.1</f>
        <v>0</v>
      </c>
      <c r="E145" s="6" cm="1">
        <f t="array" ref="E145">IFERROR(SUM(_xlfn.FILTER((_xlfn.VSTACK('Без этажа'!D3:D1000)*1.005*((_xlfn.VSTACK('Без этажа'!D3:D1000))-(-32))*1.2/3600),(_xlfn.VSTACK('Без этажа'!K3:K1000)=A145)+(_xlfn.VSTACK('Без этажа'!L3:L1000)=A145))),0)</f>
        <v>0</v>
      </c>
      <c r="F145" s="4"/>
      <c r="G145" s="4"/>
      <c r="H145" s="4"/>
      <c r="I145" s="4"/>
      <c r="J145" s="4"/>
      <c r="K145" s="4"/>
      <c r="L145" s="6">
        <f>J145+K145</f>
        <v>0</v>
      </c>
      <c r="M145" s="4"/>
      <c r="N145" s="4"/>
      <c r="O145" s="4"/>
    </row>
    <row r="146" spans="1:15">
      <c r="A146" s="4" t="s">
        <v>111</v>
      </c>
      <c r="B146" s="4" cm="1">
        <f t="array" ref="B146">IFERROR(_xlfn.TEXTJOIN(", ",TRUE,_xlfn.UNIQUE(_xlfn.FILTER(_xlfn.VSTACK('Без этажа'!B3:B1000),(_xlfn.VSTACK('Без этажа'!K3:K1000)=A146)+(_xlfn.VSTACK('Без этажа'!L3:L1000)=A146)))),"Не найдено")</f>
        <v>0</v>
      </c>
      <c r="C146" s="6" cm="1">
        <f t="array" ref="C146">IFERROR(SUM(_xlfn.FILTER(_xlfn.VSTACK('Без этажа'!I3:I1000),(_xlfn.VSTACK('Без этажа'!K3:K1000)=A146)+(_xlfn.VSTACK('Без этажа'!L3:L1000)=A146)))+SUM(_xlfn.FILTER(_xlfn.VSTACK('Без этажа'!J3:J1000),(_xlfn.VSTACK('Без этажа'!K3:K1000)=A146)+(_xlfn.VSTACK('Без этажа'!L3:L1000)=A146))),0)</f>
        <v>0</v>
      </c>
      <c r="D146" s="6">
        <f>C146*1.1</f>
        <v>0</v>
      </c>
      <c r="E146" s="6" cm="1">
        <f t="array" ref="E146">IFERROR(SUM(_xlfn.FILTER((_xlfn.VSTACK('Без этажа'!D3:D1000)*1.005*((_xlfn.VSTACK('Без этажа'!D3:D1000))-(-32))*1.2/3600),(_xlfn.VSTACK('Без этажа'!K3:K1000)=A146)+(_xlfn.VSTACK('Без этажа'!L3:L1000)=A146))),0)</f>
        <v>0</v>
      </c>
      <c r="F146" s="4"/>
      <c r="G146" s="4"/>
      <c r="H146" s="4"/>
      <c r="I146" s="4"/>
      <c r="J146" s="4"/>
      <c r="K146" s="4"/>
      <c r="L146" s="6">
        <f>J146+K146</f>
        <v>0</v>
      </c>
      <c r="M146" s="4"/>
      <c r="N146" s="4"/>
      <c r="O146" s="4"/>
    </row>
    <row r="147" spans="1:15">
      <c r="A147" s="4" t="s">
        <v>111</v>
      </c>
      <c r="B147" s="4" cm="1">
        <f t="array" ref="B147">IFERROR(_xlfn.TEXTJOIN(", ",TRUE,_xlfn.UNIQUE(_xlfn.FILTER(_xlfn.VSTACK('Без этажа'!B3:B1000),(_xlfn.VSTACK('Без этажа'!K3:K1000)=A147)+(_xlfn.VSTACK('Без этажа'!L3:L1000)=A147)))),"Не найдено")</f>
        <v>0</v>
      </c>
      <c r="C147" s="6" cm="1">
        <f t="array" ref="C147">IFERROR(SUM(_xlfn.FILTER(_xlfn.VSTACK('Без этажа'!I3:I1000),(_xlfn.VSTACK('Без этажа'!K3:K1000)=A147)+(_xlfn.VSTACK('Без этажа'!L3:L1000)=A147)))+SUM(_xlfn.FILTER(_xlfn.VSTACK('Без этажа'!J3:J1000),(_xlfn.VSTACK('Без этажа'!K3:K1000)=A147)+(_xlfn.VSTACK('Без этажа'!L3:L1000)=A147))),0)</f>
        <v>0</v>
      </c>
      <c r="D147" s="6">
        <f>C147*1.1</f>
        <v>0</v>
      </c>
      <c r="E147" s="6" cm="1">
        <f t="array" ref="E147">IFERROR(SUM(_xlfn.FILTER((_xlfn.VSTACK('Без этажа'!D3:D1000)*1.005*((_xlfn.VSTACK('Без этажа'!D3:D1000))-(-32))*1.2/3600),(_xlfn.VSTACK('Без этажа'!K3:K1000)=A147)+(_xlfn.VSTACK('Без этажа'!L3:L1000)=A147))),0)</f>
        <v>0</v>
      </c>
      <c r="F147" s="4"/>
      <c r="G147" s="4"/>
      <c r="H147" s="4"/>
      <c r="I147" s="4"/>
      <c r="J147" s="4"/>
      <c r="K147" s="4"/>
      <c r="L147" s="6">
        <f>J147+K147</f>
        <v>0</v>
      </c>
      <c r="M147" s="4"/>
      <c r="N147" s="4"/>
      <c r="O147" s="4"/>
    </row>
    <row r="148" spans="1:15">
      <c r="A148" s="4" t="s">
        <v>111</v>
      </c>
      <c r="B148" s="4" cm="1">
        <f t="array" ref="B148">IFERROR(_xlfn.TEXTJOIN(", ",TRUE,_xlfn.UNIQUE(_xlfn.FILTER(_xlfn.VSTACK('Без этажа'!B3:B1000),(_xlfn.VSTACK('Без этажа'!K3:K1000)=A148)+(_xlfn.VSTACK('Без этажа'!L3:L1000)=A148)))),"Не найдено")</f>
        <v>0</v>
      </c>
      <c r="C148" s="6" cm="1">
        <f t="array" ref="C148">IFERROR(SUM(_xlfn.FILTER(_xlfn.VSTACK('Без этажа'!I3:I1000),(_xlfn.VSTACK('Без этажа'!K3:K1000)=A148)+(_xlfn.VSTACK('Без этажа'!L3:L1000)=A148)))+SUM(_xlfn.FILTER(_xlfn.VSTACK('Без этажа'!J3:J1000),(_xlfn.VSTACK('Без этажа'!K3:K1000)=A148)+(_xlfn.VSTACK('Без этажа'!L3:L1000)=A148))),0)</f>
        <v>0</v>
      </c>
      <c r="D148" s="6">
        <f>C148*1.1</f>
        <v>0</v>
      </c>
      <c r="E148" s="6" cm="1">
        <f t="array" ref="E148">IFERROR(SUM(_xlfn.FILTER((_xlfn.VSTACK('Без этажа'!D3:D1000)*1.005*((_xlfn.VSTACK('Без этажа'!D3:D1000))-(-32))*1.2/3600),(_xlfn.VSTACK('Без этажа'!K3:K1000)=A148)+(_xlfn.VSTACK('Без этажа'!L3:L1000)=A148))),0)</f>
        <v>0</v>
      </c>
      <c r="F148" s="4"/>
      <c r="G148" s="4"/>
      <c r="H148" s="4"/>
      <c r="I148" s="4"/>
      <c r="J148" s="4"/>
      <c r="K148" s="4"/>
      <c r="L148" s="6">
        <f>J148+K148</f>
        <v>0</v>
      </c>
      <c r="M148" s="4"/>
      <c r="N148" s="4"/>
      <c r="O148" s="4"/>
    </row>
    <row r="149" spans="1:15">
      <c r="A149" s="4" t="s">
        <v>111</v>
      </c>
      <c r="B149" s="4" cm="1">
        <f t="array" ref="B149">IFERROR(_xlfn.TEXTJOIN(", ",TRUE,_xlfn.UNIQUE(_xlfn.FILTER(_xlfn.VSTACK('Без этажа'!B3:B1000),(_xlfn.VSTACK('Без этажа'!K3:K1000)=A149)+(_xlfn.VSTACK('Без этажа'!L3:L1000)=A149)))),"Не найдено")</f>
        <v>0</v>
      </c>
      <c r="C149" s="6" cm="1">
        <f t="array" ref="C149">IFERROR(SUM(_xlfn.FILTER(_xlfn.VSTACK('Без этажа'!I3:I1000),(_xlfn.VSTACK('Без этажа'!K3:K1000)=A149)+(_xlfn.VSTACK('Без этажа'!L3:L1000)=A149)))+SUM(_xlfn.FILTER(_xlfn.VSTACK('Без этажа'!J3:J1000),(_xlfn.VSTACK('Без этажа'!K3:K1000)=A149)+(_xlfn.VSTACK('Без этажа'!L3:L1000)=A149))),0)</f>
        <v>0</v>
      </c>
      <c r="D149" s="6">
        <f>C149*1.1</f>
        <v>0</v>
      </c>
      <c r="E149" s="6" cm="1">
        <f t="array" ref="E149">IFERROR(SUM(_xlfn.FILTER((_xlfn.VSTACK('Без этажа'!D3:D1000)*1.005*((_xlfn.VSTACK('Без этажа'!D3:D1000))-(-32))*1.2/3600),(_xlfn.VSTACK('Без этажа'!K3:K1000)=A149)+(_xlfn.VSTACK('Без этажа'!L3:L1000)=A149))),0)</f>
        <v>0</v>
      </c>
      <c r="F149" s="4"/>
      <c r="G149" s="4"/>
      <c r="H149" s="4"/>
      <c r="I149" s="4"/>
      <c r="J149" s="4"/>
      <c r="K149" s="4"/>
      <c r="L149" s="6">
        <f>J149+K149</f>
        <v>0</v>
      </c>
      <c r="M149" s="4"/>
      <c r="N149" s="4"/>
      <c r="O149" s="4"/>
    </row>
    <row r="150" spans="1:15">
      <c r="A150" s="4" t="s">
        <v>111</v>
      </c>
      <c r="B150" s="4" cm="1">
        <f t="array" ref="B150">IFERROR(_xlfn.TEXTJOIN(", ",TRUE,_xlfn.UNIQUE(_xlfn.FILTER(_xlfn.VSTACK('Без этажа'!B3:B1000),(_xlfn.VSTACK('Без этажа'!K3:K1000)=A150)+(_xlfn.VSTACK('Без этажа'!L3:L1000)=A150)))),"Не найдено")</f>
        <v>0</v>
      </c>
      <c r="C150" s="6" cm="1">
        <f t="array" ref="C150">IFERROR(SUM(_xlfn.FILTER(_xlfn.VSTACK('Без этажа'!I3:I1000),(_xlfn.VSTACK('Без этажа'!K3:K1000)=A150)+(_xlfn.VSTACK('Без этажа'!L3:L1000)=A150)))+SUM(_xlfn.FILTER(_xlfn.VSTACK('Без этажа'!J3:J1000),(_xlfn.VSTACK('Без этажа'!K3:K1000)=A150)+(_xlfn.VSTACK('Без этажа'!L3:L1000)=A150))),0)</f>
        <v>0</v>
      </c>
      <c r="D150" s="6">
        <f>C150*1.1</f>
        <v>0</v>
      </c>
      <c r="E150" s="6" cm="1">
        <f t="array" ref="E150">IFERROR(SUM(_xlfn.FILTER((_xlfn.VSTACK('Без этажа'!D3:D1000)*1.005*((_xlfn.VSTACK('Без этажа'!D3:D1000))-(-32))*1.2/3600),(_xlfn.VSTACK('Без этажа'!K3:K1000)=A150)+(_xlfn.VSTACK('Без этажа'!L3:L1000)=A150))),0)</f>
        <v>0</v>
      </c>
      <c r="F150" s="4"/>
      <c r="G150" s="4"/>
      <c r="H150" s="4"/>
      <c r="I150" s="4"/>
      <c r="J150" s="4"/>
      <c r="K150" s="4"/>
      <c r="L150" s="6">
        <f>J150+K150</f>
        <v>0</v>
      </c>
      <c r="M150" s="4"/>
      <c r="N150" s="4"/>
      <c r="O150" s="4"/>
    </row>
    <row r="151" spans="1:15">
      <c r="A151" s="4" t="s">
        <v>111</v>
      </c>
      <c r="B151" s="4" cm="1">
        <f t="array" ref="B151">IFERROR(_xlfn.TEXTJOIN(", ",TRUE,_xlfn.UNIQUE(_xlfn.FILTER(_xlfn.VSTACK('Без этажа'!B3:B1000),(_xlfn.VSTACK('Без этажа'!K3:K1000)=A151)+(_xlfn.VSTACK('Без этажа'!L3:L1000)=A151)))),"Не найдено")</f>
        <v>0</v>
      </c>
      <c r="C151" s="6" cm="1">
        <f t="array" ref="C151">IFERROR(SUM(_xlfn.FILTER(_xlfn.VSTACK('Без этажа'!I3:I1000),(_xlfn.VSTACK('Без этажа'!K3:K1000)=A151)+(_xlfn.VSTACK('Без этажа'!L3:L1000)=A151)))+SUM(_xlfn.FILTER(_xlfn.VSTACK('Без этажа'!J3:J1000),(_xlfn.VSTACK('Без этажа'!K3:K1000)=A151)+(_xlfn.VSTACK('Без этажа'!L3:L1000)=A151))),0)</f>
        <v>0</v>
      </c>
      <c r="D151" s="6">
        <f>C151*1.1</f>
        <v>0</v>
      </c>
      <c r="E151" s="6" cm="1">
        <f t="array" ref="E151">IFERROR(SUM(_xlfn.FILTER((_xlfn.VSTACK('Без этажа'!D3:D1000)*1.005*((_xlfn.VSTACK('Без этажа'!D3:D1000))-(-32))*1.2/3600),(_xlfn.VSTACK('Без этажа'!K3:K1000)=A151)+(_xlfn.VSTACK('Без этажа'!L3:L1000)=A151))),0)</f>
        <v>0</v>
      </c>
      <c r="F151" s="4"/>
      <c r="G151" s="4"/>
      <c r="H151" s="4"/>
      <c r="I151" s="4"/>
      <c r="J151" s="4"/>
      <c r="K151" s="4"/>
      <c r="L151" s="6">
        <f>J151+K151</f>
        <v>0</v>
      </c>
      <c r="M151" s="4"/>
      <c r="N151" s="4"/>
      <c r="O151" s="4"/>
    </row>
    <row r="152" spans="1:15">
      <c r="A152" s="4" t="s">
        <v>111</v>
      </c>
      <c r="B152" s="4" cm="1">
        <f t="array" ref="B152">IFERROR(_xlfn.TEXTJOIN(", ",TRUE,_xlfn.UNIQUE(_xlfn.FILTER(_xlfn.VSTACK('Без этажа'!B3:B1000),(_xlfn.VSTACK('Без этажа'!K3:K1000)=A152)+(_xlfn.VSTACK('Без этажа'!L3:L1000)=A152)))),"Не найдено")</f>
        <v>0</v>
      </c>
      <c r="C152" s="6" cm="1">
        <f t="array" ref="C152">IFERROR(SUM(_xlfn.FILTER(_xlfn.VSTACK('Без этажа'!I3:I1000),(_xlfn.VSTACK('Без этажа'!K3:K1000)=A152)+(_xlfn.VSTACK('Без этажа'!L3:L1000)=A152)))+SUM(_xlfn.FILTER(_xlfn.VSTACK('Без этажа'!J3:J1000),(_xlfn.VSTACK('Без этажа'!K3:K1000)=A152)+(_xlfn.VSTACK('Без этажа'!L3:L1000)=A152))),0)</f>
        <v>0</v>
      </c>
      <c r="D152" s="6">
        <f>C152*1.1</f>
        <v>0</v>
      </c>
      <c r="E152" s="6" cm="1">
        <f t="array" ref="E152">IFERROR(SUM(_xlfn.FILTER((_xlfn.VSTACK('Без этажа'!D3:D1000)*1.005*((_xlfn.VSTACK('Без этажа'!D3:D1000))-(-32))*1.2/3600),(_xlfn.VSTACK('Без этажа'!K3:K1000)=A152)+(_xlfn.VSTACK('Без этажа'!L3:L1000)=A152))),0)</f>
        <v>0</v>
      </c>
      <c r="F152" s="4"/>
      <c r="G152" s="4"/>
      <c r="H152" s="4"/>
      <c r="I152" s="4"/>
      <c r="J152" s="4"/>
      <c r="K152" s="4"/>
      <c r="L152" s="6">
        <f>J152+K152</f>
        <v>0</v>
      </c>
      <c r="M152" s="4"/>
      <c r="N152" s="4"/>
      <c r="O152" s="4"/>
    </row>
    <row r="153" spans="1:15">
      <c r="A153" s="4" t="s">
        <v>111</v>
      </c>
      <c r="B153" s="4" cm="1">
        <f t="array" ref="B153">IFERROR(_xlfn.TEXTJOIN(", ",TRUE,_xlfn.UNIQUE(_xlfn.FILTER(_xlfn.VSTACK('Без этажа'!B3:B1000),(_xlfn.VSTACK('Без этажа'!K3:K1000)=A153)+(_xlfn.VSTACK('Без этажа'!L3:L1000)=A153)))),"Не найдено")</f>
        <v>0</v>
      </c>
      <c r="C153" s="6" cm="1">
        <f t="array" ref="C153">IFERROR(SUM(_xlfn.FILTER(_xlfn.VSTACK('Без этажа'!I3:I1000),(_xlfn.VSTACK('Без этажа'!K3:K1000)=A153)+(_xlfn.VSTACK('Без этажа'!L3:L1000)=A153)))+SUM(_xlfn.FILTER(_xlfn.VSTACK('Без этажа'!J3:J1000),(_xlfn.VSTACK('Без этажа'!K3:K1000)=A153)+(_xlfn.VSTACK('Без этажа'!L3:L1000)=A153))),0)</f>
        <v>0</v>
      </c>
      <c r="D153" s="6">
        <f>C153*1.1</f>
        <v>0</v>
      </c>
      <c r="E153" s="6" cm="1">
        <f t="array" ref="E153">IFERROR(SUM(_xlfn.FILTER((_xlfn.VSTACK('Без этажа'!D3:D1000)*1.005*((_xlfn.VSTACK('Без этажа'!D3:D1000))-(-32))*1.2/3600),(_xlfn.VSTACK('Без этажа'!K3:K1000)=A153)+(_xlfn.VSTACK('Без этажа'!L3:L1000)=A153))),0)</f>
        <v>0</v>
      </c>
      <c r="F153" s="4"/>
      <c r="G153" s="4"/>
      <c r="H153" s="4"/>
      <c r="I153" s="4"/>
      <c r="J153" s="4"/>
      <c r="K153" s="4"/>
      <c r="L153" s="6">
        <f>J153+K153</f>
        <v>0</v>
      </c>
      <c r="M153" s="4"/>
      <c r="N153" s="4"/>
      <c r="O153" s="4"/>
    </row>
    <row r="154" spans="1:15">
      <c r="A154" s="4" t="s">
        <v>111</v>
      </c>
      <c r="B154" s="4" cm="1">
        <f t="array" ref="B154">IFERROR(_xlfn.TEXTJOIN(", ",TRUE,_xlfn.UNIQUE(_xlfn.FILTER(_xlfn.VSTACK('Без этажа'!B3:B1000),(_xlfn.VSTACK('Без этажа'!K3:K1000)=A154)+(_xlfn.VSTACK('Без этажа'!L3:L1000)=A154)))),"Не найдено")</f>
        <v>0</v>
      </c>
      <c r="C154" s="6" cm="1">
        <f t="array" ref="C154">IFERROR(SUM(_xlfn.FILTER(_xlfn.VSTACK('Без этажа'!I3:I1000),(_xlfn.VSTACK('Без этажа'!K3:K1000)=A154)+(_xlfn.VSTACK('Без этажа'!L3:L1000)=A154)))+SUM(_xlfn.FILTER(_xlfn.VSTACK('Без этажа'!J3:J1000),(_xlfn.VSTACK('Без этажа'!K3:K1000)=A154)+(_xlfn.VSTACK('Без этажа'!L3:L1000)=A154))),0)</f>
        <v>0</v>
      </c>
      <c r="D154" s="6">
        <f>C154*1.1</f>
        <v>0</v>
      </c>
      <c r="E154" s="6" cm="1">
        <f t="array" ref="E154">IFERROR(SUM(_xlfn.FILTER((_xlfn.VSTACK('Без этажа'!D3:D1000)*1.005*((_xlfn.VSTACK('Без этажа'!D3:D1000))-(-32))*1.2/3600),(_xlfn.VSTACK('Без этажа'!K3:K1000)=A154)+(_xlfn.VSTACK('Без этажа'!L3:L1000)=A154))),0)</f>
        <v>0</v>
      </c>
      <c r="F154" s="4"/>
      <c r="G154" s="4"/>
      <c r="H154" s="4"/>
      <c r="I154" s="4"/>
      <c r="J154" s="4"/>
      <c r="K154" s="4"/>
      <c r="L154" s="6">
        <f>J154+K154</f>
        <v>0</v>
      </c>
      <c r="M154" s="4"/>
      <c r="N154" s="4"/>
      <c r="O154" s="4"/>
    </row>
    <row r="155" spans="1:15">
      <c r="A155" s="4" t="s">
        <v>111</v>
      </c>
      <c r="B155" s="4" cm="1">
        <f t="array" ref="B155">IFERROR(_xlfn.TEXTJOIN(", ",TRUE,_xlfn.UNIQUE(_xlfn.FILTER(_xlfn.VSTACK('Без этажа'!B3:B1000),(_xlfn.VSTACK('Без этажа'!K3:K1000)=A155)+(_xlfn.VSTACK('Без этажа'!L3:L1000)=A155)))),"Не найдено")</f>
        <v>0</v>
      </c>
      <c r="C155" s="6" cm="1">
        <f t="array" ref="C155">IFERROR(SUM(_xlfn.FILTER(_xlfn.VSTACK('Без этажа'!I3:I1000),(_xlfn.VSTACK('Без этажа'!K3:K1000)=A155)+(_xlfn.VSTACK('Без этажа'!L3:L1000)=A155)))+SUM(_xlfn.FILTER(_xlfn.VSTACK('Без этажа'!J3:J1000),(_xlfn.VSTACK('Без этажа'!K3:K1000)=A155)+(_xlfn.VSTACK('Без этажа'!L3:L1000)=A155))),0)</f>
        <v>0</v>
      </c>
      <c r="D155" s="6">
        <f>C155*1.1</f>
        <v>0</v>
      </c>
      <c r="E155" s="6" cm="1">
        <f t="array" ref="E155">IFERROR(SUM(_xlfn.FILTER((_xlfn.VSTACK('Без этажа'!D3:D1000)*1.005*((_xlfn.VSTACK('Без этажа'!D3:D1000))-(-32))*1.2/3600),(_xlfn.VSTACK('Без этажа'!K3:K1000)=A155)+(_xlfn.VSTACK('Без этажа'!L3:L1000)=A155))),0)</f>
        <v>0</v>
      </c>
      <c r="F155" s="4"/>
      <c r="G155" s="4"/>
      <c r="H155" s="4"/>
      <c r="I155" s="4"/>
      <c r="J155" s="4"/>
      <c r="K155" s="4"/>
      <c r="L155" s="6">
        <f>J155+K155</f>
        <v>0</v>
      </c>
      <c r="M155" s="4"/>
      <c r="N155" s="4"/>
      <c r="O155" s="4"/>
    </row>
    <row r="156" spans="1:15">
      <c r="A156" s="4" t="s">
        <v>111</v>
      </c>
      <c r="B156" s="4" cm="1">
        <f t="array" ref="B156">IFERROR(_xlfn.TEXTJOIN(", ",TRUE,_xlfn.UNIQUE(_xlfn.FILTER(_xlfn.VSTACK('Без этажа'!B3:B1000),(_xlfn.VSTACK('Без этажа'!K3:K1000)=A156)+(_xlfn.VSTACK('Без этажа'!L3:L1000)=A156)))),"Не найдено")</f>
        <v>0</v>
      </c>
      <c r="C156" s="6" cm="1">
        <f t="array" ref="C156">IFERROR(SUM(_xlfn.FILTER(_xlfn.VSTACK('Без этажа'!I3:I1000),(_xlfn.VSTACK('Без этажа'!K3:K1000)=A156)+(_xlfn.VSTACK('Без этажа'!L3:L1000)=A156)))+SUM(_xlfn.FILTER(_xlfn.VSTACK('Без этажа'!J3:J1000),(_xlfn.VSTACK('Без этажа'!K3:K1000)=A156)+(_xlfn.VSTACK('Без этажа'!L3:L1000)=A156))),0)</f>
        <v>0</v>
      </c>
      <c r="D156" s="6">
        <f>C156*1.1</f>
        <v>0</v>
      </c>
      <c r="E156" s="6" cm="1">
        <f t="array" ref="E156">IFERROR(SUM(_xlfn.FILTER((_xlfn.VSTACK('Без этажа'!D3:D1000)*1.005*((_xlfn.VSTACK('Без этажа'!D3:D1000))-(-32))*1.2/3600),(_xlfn.VSTACK('Без этажа'!K3:K1000)=A156)+(_xlfn.VSTACK('Без этажа'!L3:L1000)=A156))),0)</f>
        <v>0</v>
      </c>
      <c r="F156" s="4"/>
      <c r="G156" s="4"/>
      <c r="H156" s="4"/>
      <c r="I156" s="4"/>
      <c r="J156" s="4"/>
      <c r="K156" s="4"/>
      <c r="L156" s="6">
        <f>J156+K156</f>
        <v>0</v>
      </c>
      <c r="M156" s="4"/>
      <c r="N156" s="4"/>
      <c r="O156" s="4"/>
    </row>
    <row r="157" spans="1:15">
      <c r="A157" s="4" t="s">
        <v>111</v>
      </c>
      <c r="B157" s="4" cm="1">
        <f t="array" ref="B157">IFERROR(_xlfn.TEXTJOIN(", ",TRUE,_xlfn.UNIQUE(_xlfn.FILTER(_xlfn.VSTACK('Без этажа'!B3:B1000),(_xlfn.VSTACK('Без этажа'!K3:K1000)=A157)+(_xlfn.VSTACK('Без этажа'!L3:L1000)=A157)))),"Не найдено")</f>
        <v>0</v>
      </c>
      <c r="C157" s="6" cm="1">
        <f t="array" ref="C157">IFERROR(SUM(_xlfn.FILTER(_xlfn.VSTACK('Без этажа'!I3:I1000),(_xlfn.VSTACK('Без этажа'!K3:K1000)=A157)+(_xlfn.VSTACK('Без этажа'!L3:L1000)=A157)))+SUM(_xlfn.FILTER(_xlfn.VSTACK('Без этажа'!J3:J1000),(_xlfn.VSTACK('Без этажа'!K3:K1000)=A157)+(_xlfn.VSTACK('Без этажа'!L3:L1000)=A157))),0)</f>
        <v>0</v>
      </c>
      <c r="D157" s="6">
        <f>C157*1.1</f>
        <v>0</v>
      </c>
      <c r="E157" s="6" cm="1">
        <f t="array" ref="E157">IFERROR(SUM(_xlfn.FILTER((_xlfn.VSTACK('Без этажа'!D3:D1000)*1.005*((_xlfn.VSTACK('Без этажа'!D3:D1000))-(-32))*1.2/3600),(_xlfn.VSTACK('Без этажа'!K3:K1000)=A157)+(_xlfn.VSTACK('Без этажа'!L3:L1000)=A157))),0)</f>
        <v>0</v>
      </c>
      <c r="F157" s="4"/>
      <c r="G157" s="4"/>
      <c r="H157" s="4"/>
      <c r="I157" s="4"/>
      <c r="J157" s="4"/>
      <c r="K157" s="4"/>
      <c r="L157" s="6">
        <f>J157+K157</f>
        <v>0</v>
      </c>
      <c r="M157" s="4"/>
      <c r="N157" s="4"/>
      <c r="O157" s="4"/>
    </row>
    <row r="158" spans="1:15">
      <c r="A158" s="4" t="s">
        <v>111</v>
      </c>
      <c r="B158" s="4" cm="1">
        <f t="array" ref="B158">IFERROR(_xlfn.TEXTJOIN(", ",TRUE,_xlfn.UNIQUE(_xlfn.FILTER(_xlfn.VSTACK('Без этажа'!B3:B1000),(_xlfn.VSTACK('Без этажа'!K3:K1000)=A158)+(_xlfn.VSTACK('Без этажа'!L3:L1000)=A158)))),"Не найдено")</f>
        <v>0</v>
      </c>
      <c r="C158" s="6" cm="1">
        <f t="array" ref="C158">IFERROR(SUM(_xlfn.FILTER(_xlfn.VSTACK('Без этажа'!I3:I1000),(_xlfn.VSTACK('Без этажа'!K3:K1000)=A158)+(_xlfn.VSTACK('Без этажа'!L3:L1000)=A158)))+SUM(_xlfn.FILTER(_xlfn.VSTACK('Без этажа'!J3:J1000),(_xlfn.VSTACK('Без этажа'!K3:K1000)=A158)+(_xlfn.VSTACK('Без этажа'!L3:L1000)=A158))),0)</f>
        <v>0</v>
      </c>
      <c r="D158" s="6">
        <f>C158*1.1</f>
        <v>0</v>
      </c>
      <c r="E158" s="6" cm="1">
        <f t="array" ref="E158">IFERROR(SUM(_xlfn.FILTER((_xlfn.VSTACK('Без этажа'!D3:D1000)*1.005*((_xlfn.VSTACK('Без этажа'!D3:D1000))-(-32))*1.2/3600),(_xlfn.VSTACK('Без этажа'!K3:K1000)=A158)+(_xlfn.VSTACK('Без этажа'!L3:L1000)=A158))),0)</f>
        <v>0</v>
      </c>
      <c r="F158" s="4"/>
      <c r="G158" s="4"/>
      <c r="H158" s="4"/>
      <c r="I158" s="4"/>
      <c r="J158" s="4"/>
      <c r="K158" s="4"/>
      <c r="L158" s="6">
        <f>J158+K158</f>
        <v>0</v>
      </c>
      <c r="M158" s="4"/>
      <c r="N158" s="4"/>
      <c r="O158" s="4"/>
    </row>
    <row r="159" spans="1:15">
      <c r="A159" s="4" t="s">
        <v>111</v>
      </c>
      <c r="B159" s="4" cm="1">
        <f t="array" ref="B159">IFERROR(_xlfn.TEXTJOIN(", ",TRUE,_xlfn.UNIQUE(_xlfn.FILTER(_xlfn.VSTACK('Без этажа'!B3:B1000),(_xlfn.VSTACK('Без этажа'!K3:K1000)=A159)+(_xlfn.VSTACK('Без этажа'!L3:L1000)=A159)))),"Не найдено")</f>
        <v>0</v>
      </c>
      <c r="C159" s="6" cm="1">
        <f t="array" ref="C159">IFERROR(SUM(_xlfn.FILTER(_xlfn.VSTACK('Без этажа'!I3:I1000),(_xlfn.VSTACK('Без этажа'!K3:K1000)=A159)+(_xlfn.VSTACK('Без этажа'!L3:L1000)=A159)))+SUM(_xlfn.FILTER(_xlfn.VSTACK('Без этажа'!J3:J1000),(_xlfn.VSTACK('Без этажа'!K3:K1000)=A159)+(_xlfn.VSTACK('Без этажа'!L3:L1000)=A159))),0)</f>
        <v>0</v>
      </c>
      <c r="D159" s="6">
        <f>C159*1.1</f>
        <v>0</v>
      </c>
      <c r="E159" s="6" cm="1">
        <f t="array" ref="E159">IFERROR(SUM(_xlfn.FILTER((_xlfn.VSTACK('Без этажа'!D3:D1000)*1.005*((_xlfn.VSTACK('Без этажа'!D3:D1000))-(-32))*1.2/3600),(_xlfn.VSTACK('Без этажа'!K3:K1000)=A159)+(_xlfn.VSTACK('Без этажа'!L3:L1000)=A159))),0)</f>
        <v>0</v>
      </c>
      <c r="F159" s="4"/>
      <c r="G159" s="4"/>
      <c r="H159" s="4"/>
      <c r="I159" s="4"/>
      <c r="J159" s="4"/>
      <c r="K159" s="4"/>
      <c r="L159" s="6">
        <f>J159+K159</f>
        <v>0</v>
      </c>
      <c r="M159" s="4"/>
      <c r="N159" s="4"/>
      <c r="O159" s="4"/>
    </row>
    <row r="160" spans="1:15">
      <c r="A160" s="4" t="s">
        <v>111</v>
      </c>
      <c r="B160" s="4" cm="1">
        <f t="array" ref="B160">IFERROR(_xlfn.TEXTJOIN(", ",TRUE,_xlfn.UNIQUE(_xlfn.FILTER(_xlfn.VSTACK('Без этажа'!B3:B1000),(_xlfn.VSTACK('Без этажа'!K3:K1000)=A160)+(_xlfn.VSTACK('Без этажа'!L3:L1000)=A160)))),"Не найдено")</f>
        <v>0</v>
      </c>
      <c r="C160" s="6" cm="1">
        <f t="array" ref="C160">IFERROR(SUM(_xlfn.FILTER(_xlfn.VSTACK('Без этажа'!I3:I1000),(_xlfn.VSTACK('Без этажа'!K3:K1000)=A160)+(_xlfn.VSTACK('Без этажа'!L3:L1000)=A160)))+SUM(_xlfn.FILTER(_xlfn.VSTACK('Без этажа'!J3:J1000),(_xlfn.VSTACK('Без этажа'!K3:K1000)=A160)+(_xlfn.VSTACK('Без этажа'!L3:L1000)=A160))),0)</f>
        <v>0</v>
      </c>
      <c r="D160" s="6">
        <f>C160*1.1</f>
        <v>0</v>
      </c>
      <c r="E160" s="6" cm="1">
        <f t="array" ref="E160">IFERROR(SUM(_xlfn.FILTER((_xlfn.VSTACK('Без этажа'!D3:D1000)*1.005*((_xlfn.VSTACK('Без этажа'!D3:D1000))-(-32))*1.2/3600),(_xlfn.VSTACK('Без этажа'!K3:K1000)=A160)+(_xlfn.VSTACK('Без этажа'!L3:L1000)=A160))),0)</f>
        <v>0</v>
      </c>
      <c r="F160" s="4"/>
      <c r="G160" s="4"/>
      <c r="H160" s="4"/>
      <c r="I160" s="4"/>
      <c r="J160" s="4"/>
      <c r="K160" s="4"/>
      <c r="L160" s="6">
        <f>J160+K160</f>
        <v>0</v>
      </c>
      <c r="M160" s="4"/>
      <c r="N160" s="4"/>
      <c r="O160" s="4"/>
    </row>
    <row r="161" spans="1:15">
      <c r="A161" s="4" t="s">
        <v>111</v>
      </c>
      <c r="B161" s="4" cm="1">
        <f t="array" ref="B161">IFERROR(_xlfn.TEXTJOIN(", ",TRUE,_xlfn.UNIQUE(_xlfn.FILTER(_xlfn.VSTACK('Без этажа'!B3:B1000),(_xlfn.VSTACK('Без этажа'!K3:K1000)=A161)+(_xlfn.VSTACK('Без этажа'!L3:L1000)=A161)))),"Не найдено")</f>
        <v>0</v>
      </c>
      <c r="C161" s="6" cm="1">
        <f t="array" ref="C161">IFERROR(SUM(_xlfn.FILTER(_xlfn.VSTACK('Без этажа'!I3:I1000),(_xlfn.VSTACK('Без этажа'!K3:K1000)=A161)+(_xlfn.VSTACK('Без этажа'!L3:L1000)=A161)))+SUM(_xlfn.FILTER(_xlfn.VSTACK('Без этажа'!J3:J1000),(_xlfn.VSTACK('Без этажа'!K3:K1000)=A161)+(_xlfn.VSTACK('Без этажа'!L3:L1000)=A161))),0)</f>
        <v>0</v>
      </c>
      <c r="D161" s="6">
        <f>C161*1.1</f>
        <v>0</v>
      </c>
      <c r="E161" s="6" cm="1">
        <f t="array" ref="E161">IFERROR(SUM(_xlfn.FILTER((_xlfn.VSTACK('Без этажа'!D3:D1000)*1.005*((_xlfn.VSTACK('Без этажа'!D3:D1000))-(-32))*1.2/3600),(_xlfn.VSTACK('Без этажа'!K3:K1000)=A161)+(_xlfn.VSTACK('Без этажа'!L3:L1000)=A161))),0)</f>
        <v>0</v>
      </c>
      <c r="F161" s="4"/>
      <c r="G161" s="4"/>
      <c r="H161" s="4"/>
      <c r="I161" s="4"/>
      <c r="J161" s="4"/>
      <c r="K161" s="4"/>
      <c r="L161" s="6">
        <f>J161+K161</f>
        <v>0</v>
      </c>
      <c r="M161" s="4"/>
      <c r="N161" s="4"/>
      <c r="O161" s="4"/>
    </row>
    <row r="162" spans="1:15">
      <c r="A162" s="4" t="s">
        <v>111</v>
      </c>
      <c r="B162" s="4" cm="1">
        <f t="array" ref="B162">IFERROR(_xlfn.TEXTJOIN(", ",TRUE,_xlfn.UNIQUE(_xlfn.FILTER(_xlfn.VSTACK('Без этажа'!B3:B1000),(_xlfn.VSTACK('Без этажа'!K3:K1000)=A162)+(_xlfn.VSTACK('Без этажа'!L3:L1000)=A162)))),"Не найдено")</f>
        <v>0</v>
      </c>
      <c r="C162" s="6" cm="1">
        <f t="array" ref="C162">IFERROR(SUM(_xlfn.FILTER(_xlfn.VSTACK('Без этажа'!I3:I1000),(_xlfn.VSTACK('Без этажа'!K3:K1000)=A162)+(_xlfn.VSTACK('Без этажа'!L3:L1000)=A162)))+SUM(_xlfn.FILTER(_xlfn.VSTACK('Без этажа'!J3:J1000),(_xlfn.VSTACK('Без этажа'!K3:K1000)=A162)+(_xlfn.VSTACK('Без этажа'!L3:L1000)=A162))),0)</f>
        <v>0</v>
      </c>
      <c r="D162" s="6">
        <f>C162*1.1</f>
        <v>0</v>
      </c>
      <c r="E162" s="6" cm="1">
        <f t="array" ref="E162">IFERROR(SUM(_xlfn.FILTER((_xlfn.VSTACK('Без этажа'!D3:D1000)*1.005*((_xlfn.VSTACK('Без этажа'!D3:D1000))-(-32))*1.2/3600),(_xlfn.VSTACK('Без этажа'!K3:K1000)=A162)+(_xlfn.VSTACK('Без этажа'!L3:L1000)=A162))),0)</f>
        <v>0</v>
      </c>
      <c r="F162" s="4"/>
      <c r="G162" s="4"/>
      <c r="H162" s="4"/>
      <c r="I162" s="4"/>
      <c r="J162" s="4"/>
      <c r="K162" s="4"/>
      <c r="L162" s="6">
        <f>J162+K162</f>
        <v>0</v>
      </c>
      <c r="M162" s="4"/>
      <c r="N162" s="4"/>
      <c r="O162" s="4"/>
    </row>
    <row r="163" spans="1:15">
      <c r="A163" s="4" t="s">
        <v>111</v>
      </c>
      <c r="B163" s="4" cm="1">
        <f t="array" ref="B163">IFERROR(_xlfn.TEXTJOIN(", ",TRUE,_xlfn.UNIQUE(_xlfn.FILTER(_xlfn.VSTACK('Без этажа'!B3:B1000),(_xlfn.VSTACK('Без этажа'!K3:K1000)=A163)+(_xlfn.VSTACK('Без этажа'!L3:L1000)=A163)))),"Не найдено")</f>
        <v>0</v>
      </c>
      <c r="C163" s="6" cm="1">
        <f t="array" ref="C163">IFERROR(SUM(_xlfn.FILTER(_xlfn.VSTACK('Без этажа'!I3:I1000),(_xlfn.VSTACK('Без этажа'!K3:K1000)=A163)+(_xlfn.VSTACK('Без этажа'!L3:L1000)=A163)))+SUM(_xlfn.FILTER(_xlfn.VSTACK('Без этажа'!J3:J1000),(_xlfn.VSTACK('Без этажа'!K3:K1000)=A163)+(_xlfn.VSTACK('Без этажа'!L3:L1000)=A163))),0)</f>
        <v>0</v>
      </c>
      <c r="D163" s="6">
        <f>C163*1.1</f>
        <v>0</v>
      </c>
      <c r="E163" s="6" cm="1">
        <f t="array" ref="E163">IFERROR(SUM(_xlfn.FILTER((_xlfn.VSTACK('Без этажа'!D3:D1000)*1.005*((_xlfn.VSTACK('Без этажа'!D3:D1000))-(-32))*1.2/3600),(_xlfn.VSTACK('Без этажа'!K3:K1000)=A163)+(_xlfn.VSTACK('Без этажа'!L3:L1000)=A163))),0)</f>
        <v>0</v>
      </c>
      <c r="F163" s="4"/>
      <c r="G163" s="4"/>
      <c r="H163" s="4"/>
      <c r="I163" s="4"/>
      <c r="J163" s="4"/>
      <c r="K163" s="4"/>
      <c r="L163" s="6">
        <f>J163+K163</f>
        <v>0</v>
      </c>
      <c r="M163" s="4"/>
      <c r="N163" s="4"/>
      <c r="O163" s="4"/>
    </row>
    <row r="164" spans="1:15">
      <c r="A164" s="4" t="s">
        <v>111</v>
      </c>
      <c r="B164" s="4" cm="1">
        <f t="array" ref="B164">IFERROR(_xlfn.TEXTJOIN(", ",TRUE,_xlfn.UNIQUE(_xlfn.FILTER(_xlfn.VSTACK('Без этажа'!B3:B1000),(_xlfn.VSTACK('Без этажа'!K3:K1000)=A164)+(_xlfn.VSTACK('Без этажа'!L3:L1000)=A164)))),"Не найдено")</f>
        <v>0</v>
      </c>
      <c r="C164" s="6" cm="1">
        <f t="array" ref="C164">IFERROR(SUM(_xlfn.FILTER(_xlfn.VSTACK('Без этажа'!I3:I1000),(_xlfn.VSTACK('Без этажа'!K3:K1000)=A164)+(_xlfn.VSTACK('Без этажа'!L3:L1000)=A164)))+SUM(_xlfn.FILTER(_xlfn.VSTACK('Без этажа'!J3:J1000),(_xlfn.VSTACK('Без этажа'!K3:K1000)=A164)+(_xlfn.VSTACK('Без этажа'!L3:L1000)=A164))),0)</f>
        <v>0</v>
      </c>
      <c r="D164" s="6">
        <f>C164*1.1</f>
        <v>0</v>
      </c>
      <c r="E164" s="6" cm="1">
        <f t="array" ref="E164">IFERROR(SUM(_xlfn.FILTER((_xlfn.VSTACK('Без этажа'!D3:D1000)*1.005*((_xlfn.VSTACK('Без этажа'!D3:D1000))-(-32))*1.2/3600),(_xlfn.VSTACK('Без этажа'!K3:K1000)=A164)+(_xlfn.VSTACK('Без этажа'!L3:L1000)=A164))),0)</f>
        <v>0</v>
      </c>
      <c r="F164" s="4"/>
      <c r="G164" s="4"/>
      <c r="H164" s="4"/>
      <c r="I164" s="4"/>
      <c r="J164" s="4"/>
      <c r="K164" s="4"/>
      <c r="L164" s="6">
        <f>J164+K164</f>
        <v>0</v>
      </c>
      <c r="M164" s="4"/>
      <c r="N164" s="4"/>
      <c r="O164" s="4"/>
    </row>
    <row r="165" spans="1:15">
      <c r="A165" s="4" t="s">
        <v>111</v>
      </c>
      <c r="B165" s="4" cm="1">
        <f t="array" ref="B165">IFERROR(_xlfn.TEXTJOIN(", ",TRUE,_xlfn.UNIQUE(_xlfn.FILTER(_xlfn.VSTACK('Без этажа'!B3:B1000),(_xlfn.VSTACK('Без этажа'!K3:K1000)=A165)+(_xlfn.VSTACK('Без этажа'!L3:L1000)=A165)))),"Не найдено")</f>
        <v>0</v>
      </c>
      <c r="C165" s="6" cm="1">
        <f t="array" ref="C165">IFERROR(SUM(_xlfn.FILTER(_xlfn.VSTACK('Без этажа'!I3:I1000),(_xlfn.VSTACK('Без этажа'!K3:K1000)=A165)+(_xlfn.VSTACK('Без этажа'!L3:L1000)=A165)))+SUM(_xlfn.FILTER(_xlfn.VSTACK('Без этажа'!J3:J1000),(_xlfn.VSTACK('Без этажа'!K3:K1000)=A165)+(_xlfn.VSTACK('Без этажа'!L3:L1000)=A165))),0)</f>
        <v>0</v>
      </c>
      <c r="D165" s="6">
        <f>C165*1.1</f>
        <v>0</v>
      </c>
      <c r="E165" s="6" cm="1">
        <f t="array" ref="E165">IFERROR(SUM(_xlfn.FILTER((_xlfn.VSTACK('Без этажа'!D3:D1000)*1.005*((_xlfn.VSTACK('Без этажа'!D3:D1000))-(-32))*1.2/3600),(_xlfn.VSTACK('Без этажа'!K3:K1000)=A165)+(_xlfn.VSTACK('Без этажа'!L3:L1000)=A165))),0)</f>
        <v>0</v>
      </c>
      <c r="F165" s="4"/>
      <c r="G165" s="4"/>
      <c r="H165" s="4"/>
      <c r="I165" s="4"/>
      <c r="J165" s="4"/>
      <c r="K165" s="4"/>
      <c r="L165" s="6">
        <f>J165+K165</f>
        <v>0</v>
      </c>
      <c r="M165" s="4"/>
      <c r="N165" s="4"/>
      <c r="O165" s="4"/>
    </row>
    <row r="166" spans="1:15">
      <c r="A166" s="4" t="s">
        <v>111</v>
      </c>
      <c r="B166" s="4" cm="1">
        <f t="array" ref="B166">IFERROR(_xlfn.TEXTJOIN(", ",TRUE,_xlfn.UNIQUE(_xlfn.FILTER(_xlfn.VSTACK('Без этажа'!B3:B1000),(_xlfn.VSTACK('Без этажа'!K3:K1000)=A166)+(_xlfn.VSTACK('Без этажа'!L3:L1000)=A166)))),"Не найдено")</f>
        <v>0</v>
      </c>
      <c r="C166" s="6" cm="1">
        <f t="array" ref="C166">IFERROR(SUM(_xlfn.FILTER(_xlfn.VSTACK('Без этажа'!I3:I1000),(_xlfn.VSTACK('Без этажа'!K3:K1000)=A166)+(_xlfn.VSTACK('Без этажа'!L3:L1000)=A166)))+SUM(_xlfn.FILTER(_xlfn.VSTACK('Без этажа'!J3:J1000),(_xlfn.VSTACK('Без этажа'!K3:K1000)=A166)+(_xlfn.VSTACK('Без этажа'!L3:L1000)=A166))),0)</f>
        <v>0</v>
      </c>
      <c r="D166" s="6">
        <f>C166*1.1</f>
        <v>0</v>
      </c>
      <c r="E166" s="6" cm="1">
        <f t="array" ref="E166">IFERROR(SUM(_xlfn.FILTER((_xlfn.VSTACK('Без этажа'!D3:D1000)*1.005*((_xlfn.VSTACK('Без этажа'!D3:D1000))-(-32))*1.2/3600),(_xlfn.VSTACK('Без этажа'!K3:K1000)=A166)+(_xlfn.VSTACK('Без этажа'!L3:L1000)=A166))),0)</f>
        <v>0</v>
      </c>
      <c r="F166" s="4"/>
      <c r="G166" s="4"/>
      <c r="H166" s="4"/>
      <c r="I166" s="4"/>
      <c r="J166" s="4"/>
      <c r="K166" s="4"/>
      <c r="L166" s="6">
        <f>J166+K166</f>
        <v>0</v>
      </c>
      <c r="M166" s="4"/>
      <c r="N166" s="4"/>
      <c r="O166" s="4"/>
    </row>
    <row r="167" spans="1:15">
      <c r="A167" s="4" t="s">
        <v>111</v>
      </c>
      <c r="B167" s="4" cm="1">
        <f t="array" ref="B167">IFERROR(_xlfn.TEXTJOIN(", ",TRUE,_xlfn.UNIQUE(_xlfn.FILTER(_xlfn.VSTACK('Без этажа'!B3:B1000),(_xlfn.VSTACK('Без этажа'!K3:K1000)=A167)+(_xlfn.VSTACK('Без этажа'!L3:L1000)=A167)))),"Не найдено")</f>
        <v>0</v>
      </c>
      <c r="C167" s="6" cm="1">
        <f t="array" ref="C167">IFERROR(SUM(_xlfn.FILTER(_xlfn.VSTACK('Без этажа'!I3:I1000),(_xlfn.VSTACK('Без этажа'!K3:K1000)=A167)+(_xlfn.VSTACK('Без этажа'!L3:L1000)=A167)))+SUM(_xlfn.FILTER(_xlfn.VSTACK('Без этажа'!J3:J1000),(_xlfn.VSTACK('Без этажа'!K3:K1000)=A167)+(_xlfn.VSTACK('Без этажа'!L3:L1000)=A167))),0)</f>
        <v>0</v>
      </c>
      <c r="D167" s="6">
        <f>C167*1.1</f>
        <v>0</v>
      </c>
      <c r="E167" s="6" cm="1">
        <f t="array" ref="E167">IFERROR(SUM(_xlfn.FILTER((_xlfn.VSTACK('Без этажа'!D3:D1000)*1.005*((_xlfn.VSTACK('Без этажа'!D3:D1000))-(-32))*1.2/3600),(_xlfn.VSTACK('Без этажа'!K3:K1000)=A167)+(_xlfn.VSTACK('Без этажа'!L3:L1000)=A167))),0)</f>
        <v>0</v>
      </c>
      <c r="F167" s="4"/>
      <c r="G167" s="4"/>
      <c r="H167" s="4"/>
      <c r="I167" s="4"/>
      <c r="J167" s="4"/>
      <c r="K167" s="4"/>
      <c r="L167" s="6">
        <f>J167+K167</f>
        <v>0</v>
      </c>
      <c r="M167" s="4"/>
      <c r="N167" s="4"/>
      <c r="O167" s="4"/>
    </row>
    <row r="168" spans="1:15">
      <c r="A168" s="4" t="s">
        <v>111</v>
      </c>
      <c r="B168" s="4" cm="1">
        <f t="array" ref="B168">IFERROR(_xlfn.TEXTJOIN(", ",TRUE,_xlfn.UNIQUE(_xlfn.FILTER(_xlfn.VSTACK('Без этажа'!B3:B1000),(_xlfn.VSTACK('Без этажа'!K3:K1000)=A168)+(_xlfn.VSTACK('Без этажа'!L3:L1000)=A168)))),"Не найдено")</f>
        <v>0</v>
      </c>
      <c r="C168" s="6" cm="1">
        <f t="array" ref="C168">IFERROR(SUM(_xlfn.FILTER(_xlfn.VSTACK('Без этажа'!I3:I1000),(_xlfn.VSTACK('Без этажа'!K3:K1000)=A168)+(_xlfn.VSTACK('Без этажа'!L3:L1000)=A168)))+SUM(_xlfn.FILTER(_xlfn.VSTACK('Без этажа'!J3:J1000),(_xlfn.VSTACK('Без этажа'!K3:K1000)=A168)+(_xlfn.VSTACK('Без этажа'!L3:L1000)=A168))),0)</f>
        <v>0</v>
      </c>
      <c r="D168" s="6">
        <f>C168*1.1</f>
        <v>0</v>
      </c>
      <c r="E168" s="6" cm="1">
        <f t="array" ref="E168">IFERROR(SUM(_xlfn.FILTER((_xlfn.VSTACK('Без этажа'!D3:D1000)*1.005*((_xlfn.VSTACK('Без этажа'!D3:D1000))-(-32))*1.2/3600),(_xlfn.VSTACK('Без этажа'!K3:K1000)=A168)+(_xlfn.VSTACK('Без этажа'!L3:L1000)=A168))),0)</f>
        <v>0</v>
      </c>
      <c r="F168" s="4"/>
      <c r="G168" s="4"/>
      <c r="H168" s="4"/>
      <c r="I168" s="4"/>
      <c r="J168" s="4"/>
      <c r="K168" s="4"/>
      <c r="L168" s="6">
        <f>J168+K168</f>
        <v>0</v>
      </c>
      <c r="M168" s="4"/>
      <c r="N168" s="4"/>
      <c r="O168" s="4"/>
    </row>
    <row r="169" spans="1:15">
      <c r="A169" s="4" t="s">
        <v>111</v>
      </c>
      <c r="B169" s="4" cm="1">
        <f t="array" ref="B169">IFERROR(_xlfn.TEXTJOIN(", ",TRUE,_xlfn.UNIQUE(_xlfn.FILTER(_xlfn.VSTACK('Без этажа'!B3:B1000),(_xlfn.VSTACK('Без этажа'!K3:K1000)=A169)+(_xlfn.VSTACK('Без этажа'!L3:L1000)=A169)))),"Не найдено")</f>
        <v>0</v>
      </c>
      <c r="C169" s="6" cm="1">
        <f t="array" ref="C169">IFERROR(SUM(_xlfn.FILTER(_xlfn.VSTACK('Без этажа'!I3:I1000),(_xlfn.VSTACK('Без этажа'!K3:K1000)=A169)+(_xlfn.VSTACK('Без этажа'!L3:L1000)=A169)))+SUM(_xlfn.FILTER(_xlfn.VSTACK('Без этажа'!J3:J1000),(_xlfn.VSTACK('Без этажа'!K3:K1000)=A169)+(_xlfn.VSTACK('Без этажа'!L3:L1000)=A169))),0)</f>
        <v>0</v>
      </c>
      <c r="D169" s="6">
        <f>C169*1.1</f>
        <v>0</v>
      </c>
      <c r="E169" s="6" cm="1">
        <f t="array" ref="E169">IFERROR(SUM(_xlfn.FILTER((_xlfn.VSTACK('Без этажа'!D3:D1000)*1.005*((_xlfn.VSTACK('Без этажа'!D3:D1000))-(-32))*1.2/3600),(_xlfn.VSTACK('Без этажа'!K3:K1000)=A169)+(_xlfn.VSTACK('Без этажа'!L3:L1000)=A169))),0)</f>
        <v>0</v>
      </c>
      <c r="F169" s="4"/>
      <c r="G169" s="4"/>
      <c r="H169" s="4"/>
      <c r="I169" s="4"/>
      <c r="J169" s="4"/>
      <c r="K169" s="4"/>
      <c r="L169" s="6">
        <f>J169+K169</f>
        <v>0</v>
      </c>
      <c r="M169" s="4"/>
      <c r="N169" s="4"/>
      <c r="O169" s="4"/>
    </row>
    <row r="170" spans="1:15">
      <c r="A170" s="4" t="s">
        <v>111</v>
      </c>
      <c r="B170" s="4" cm="1">
        <f t="array" ref="B170">IFERROR(_xlfn.TEXTJOIN(", ",TRUE,_xlfn.UNIQUE(_xlfn.FILTER(_xlfn.VSTACK('Без этажа'!B3:B1000),(_xlfn.VSTACK('Без этажа'!K3:K1000)=A170)+(_xlfn.VSTACK('Без этажа'!L3:L1000)=A170)))),"Не найдено")</f>
        <v>0</v>
      </c>
      <c r="C170" s="6" cm="1">
        <f t="array" ref="C170">IFERROR(SUM(_xlfn.FILTER(_xlfn.VSTACK('Без этажа'!I3:I1000),(_xlfn.VSTACK('Без этажа'!K3:K1000)=A170)+(_xlfn.VSTACK('Без этажа'!L3:L1000)=A170)))+SUM(_xlfn.FILTER(_xlfn.VSTACK('Без этажа'!J3:J1000),(_xlfn.VSTACK('Без этажа'!K3:K1000)=A170)+(_xlfn.VSTACK('Без этажа'!L3:L1000)=A170))),0)</f>
        <v>0</v>
      </c>
      <c r="D170" s="6">
        <f>C170*1.1</f>
        <v>0</v>
      </c>
      <c r="E170" s="6" cm="1">
        <f t="array" ref="E170">IFERROR(SUM(_xlfn.FILTER((_xlfn.VSTACK('Без этажа'!D3:D1000)*1.005*((_xlfn.VSTACK('Без этажа'!D3:D1000))-(-32))*1.2/3600),(_xlfn.VSTACK('Без этажа'!K3:K1000)=A170)+(_xlfn.VSTACK('Без этажа'!L3:L1000)=A170))),0)</f>
        <v>0</v>
      </c>
      <c r="F170" s="4"/>
      <c r="G170" s="4"/>
      <c r="H170" s="4"/>
      <c r="I170" s="4"/>
      <c r="J170" s="4"/>
      <c r="K170" s="4"/>
      <c r="L170" s="6">
        <f>J170+K170</f>
        <v>0</v>
      </c>
      <c r="M170" s="4"/>
      <c r="N170" s="4"/>
      <c r="O170" s="4"/>
    </row>
    <row r="171" spans="1:15">
      <c r="A171" s="4" t="s">
        <v>111</v>
      </c>
      <c r="B171" s="4" cm="1">
        <f t="array" ref="B171">IFERROR(_xlfn.TEXTJOIN(", ",TRUE,_xlfn.UNIQUE(_xlfn.FILTER(_xlfn.VSTACK('Без этажа'!B3:B1000),(_xlfn.VSTACK('Без этажа'!K3:K1000)=A171)+(_xlfn.VSTACK('Без этажа'!L3:L1000)=A171)))),"Не найдено")</f>
        <v>0</v>
      </c>
      <c r="C171" s="6" cm="1">
        <f t="array" ref="C171">IFERROR(SUM(_xlfn.FILTER(_xlfn.VSTACK('Без этажа'!I3:I1000),(_xlfn.VSTACK('Без этажа'!K3:K1000)=A171)+(_xlfn.VSTACK('Без этажа'!L3:L1000)=A171)))+SUM(_xlfn.FILTER(_xlfn.VSTACK('Без этажа'!J3:J1000),(_xlfn.VSTACK('Без этажа'!K3:K1000)=A171)+(_xlfn.VSTACK('Без этажа'!L3:L1000)=A171))),0)</f>
        <v>0</v>
      </c>
      <c r="D171" s="6">
        <f>C171*1.1</f>
        <v>0</v>
      </c>
      <c r="E171" s="6" cm="1">
        <f t="array" ref="E171">IFERROR(SUM(_xlfn.FILTER((_xlfn.VSTACK('Без этажа'!D3:D1000)*1.005*((_xlfn.VSTACK('Без этажа'!D3:D1000))-(-32))*1.2/3600),(_xlfn.VSTACK('Без этажа'!K3:K1000)=A171)+(_xlfn.VSTACK('Без этажа'!L3:L1000)=A171))),0)</f>
        <v>0</v>
      </c>
      <c r="F171" s="4"/>
      <c r="G171" s="4"/>
      <c r="H171" s="4"/>
      <c r="I171" s="4"/>
      <c r="J171" s="4"/>
      <c r="K171" s="4"/>
      <c r="L171" s="6">
        <f>J171+K171</f>
        <v>0</v>
      </c>
      <c r="M171" s="4"/>
      <c r="N171" s="4"/>
      <c r="O171" s="4"/>
    </row>
    <row r="172" spans="1:15">
      <c r="A172" s="4" t="s">
        <v>111</v>
      </c>
      <c r="B172" s="4" cm="1">
        <f t="array" ref="B172">IFERROR(_xlfn.TEXTJOIN(", ",TRUE,_xlfn.UNIQUE(_xlfn.FILTER(_xlfn.VSTACK('Без этажа'!B3:B1000),(_xlfn.VSTACK('Без этажа'!K3:K1000)=A172)+(_xlfn.VSTACK('Без этажа'!L3:L1000)=A172)))),"Не найдено")</f>
        <v>0</v>
      </c>
      <c r="C172" s="6" cm="1">
        <f t="array" ref="C172">IFERROR(SUM(_xlfn.FILTER(_xlfn.VSTACK('Без этажа'!I3:I1000),(_xlfn.VSTACK('Без этажа'!K3:K1000)=A172)+(_xlfn.VSTACK('Без этажа'!L3:L1000)=A172)))+SUM(_xlfn.FILTER(_xlfn.VSTACK('Без этажа'!J3:J1000),(_xlfn.VSTACK('Без этажа'!K3:K1000)=A172)+(_xlfn.VSTACK('Без этажа'!L3:L1000)=A172))),0)</f>
        <v>0</v>
      </c>
      <c r="D172" s="6">
        <f>C172*1.1</f>
        <v>0</v>
      </c>
      <c r="E172" s="6" cm="1">
        <f t="array" ref="E172">IFERROR(SUM(_xlfn.FILTER((_xlfn.VSTACK('Без этажа'!D3:D1000)*1.005*((_xlfn.VSTACK('Без этажа'!D3:D1000))-(-32))*1.2/3600),(_xlfn.VSTACK('Без этажа'!K3:K1000)=A172)+(_xlfn.VSTACK('Без этажа'!L3:L1000)=A172))),0)</f>
        <v>0</v>
      </c>
      <c r="F172" s="4"/>
      <c r="G172" s="4"/>
      <c r="H172" s="4"/>
      <c r="I172" s="4"/>
      <c r="J172" s="4"/>
      <c r="K172" s="4"/>
      <c r="L172" s="6">
        <f>J172+K172</f>
        <v>0</v>
      </c>
      <c r="M172" s="4"/>
      <c r="N172" s="4"/>
      <c r="O172" s="4"/>
    </row>
    <row r="173" spans="1:15">
      <c r="A173" s="4" t="s">
        <v>111</v>
      </c>
      <c r="B173" s="4" cm="1">
        <f t="array" ref="B173">IFERROR(_xlfn.TEXTJOIN(", ",TRUE,_xlfn.UNIQUE(_xlfn.FILTER(_xlfn.VSTACK('Без этажа'!B3:B1000),(_xlfn.VSTACK('Без этажа'!K3:K1000)=A173)+(_xlfn.VSTACK('Без этажа'!L3:L1000)=A173)))),"Не найдено")</f>
        <v>0</v>
      </c>
      <c r="C173" s="6" cm="1">
        <f t="array" ref="C173">IFERROR(SUM(_xlfn.FILTER(_xlfn.VSTACK('Без этажа'!I3:I1000),(_xlfn.VSTACK('Без этажа'!K3:K1000)=A173)+(_xlfn.VSTACK('Без этажа'!L3:L1000)=A173)))+SUM(_xlfn.FILTER(_xlfn.VSTACK('Без этажа'!J3:J1000),(_xlfn.VSTACK('Без этажа'!K3:K1000)=A173)+(_xlfn.VSTACK('Без этажа'!L3:L1000)=A173))),0)</f>
        <v>0</v>
      </c>
      <c r="D173" s="6">
        <f>C173*1.1</f>
        <v>0</v>
      </c>
      <c r="E173" s="6" cm="1">
        <f t="array" ref="E173">IFERROR(SUM(_xlfn.FILTER((_xlfn.VSTACK('Без этажа'!D3:D1000)*1.005*((_xlfn.VSTACK('Без этажа'!D3:D1000))-(-32))*1.2/3600),(_xlfn.VSTACK('Без этажа'!K3:K1000)=A173)+(_xlfn.VSTACK('Без этажа'!L3:L1000)=A173))),0)</f>
        <v>0</v>
      </c>
      <c r="F173" s="4"/>
      <c r="G173" s="4"/>
      <c r="H173" s="4"/>
      <c r="I173" s="4"/>
      <c r="J173" s="4"/>
      <c r="K173" s="4"/>
      <c r="L173" s="6">
        <f>J173+K173</f>
        <v>0</v>
      </c>
      <c r="M173" s="4"/>
      <c r="N173" s="4"/>
      <c r="O173" s="4"/>
    </row>
    <row r="174" spans="1:15">
      <c r="A174" s="4" t="s">
        <v>111</v>
      </c>
      <c r="B174" s="4" cm="1">
        <f t="array" ref="B174">IFERROR(_xlfn.TEXTJOIN(", ",TRUE,_xlfn.UNIQUE(_xlfn.FILTER(_xlfn.VSTACK('Без этажа'!B3:B1000),(_xlfn.VSTACK('Без этажа'!K3:K1000)=A174)+(_xlfn.VSTACK('Без этажа'!L3:L1000)=A174)))),"Не найдено")</f>
        <v>0</v>
      </c>
      <c r="C174" s="6" cm="1">
        <f t="array" ref="C174">IFERROR(SUM(_xlfn.FILTER(_xlfn.VSTACK('Без этажа'!I3:I1000),(_xlfn.VSTACK('Без этажа'!K3:K1000)=A174)+(_xlfn.VSTACK('Без этажа'!L3:L1000)=A174)))+SUM(_xlfn.FILTER(_xlfn.VSTACK('Без этажа'!J3:J1000),(_xlfn.VSTACK('Без этажа'!K3:K1000)=A174)+(_xlfn.VSTACK('Без этажа'!L3:L1000)=A174))),0)</f>
        <v>0</v>
      </c>
      <c r="D174" s="6">
        <f>C174*1.1</f>
        <v>0</v>
      </c>
      <c r="E174" s="6" cm="1">
        <f t="array" ref="E174">IFERROR(SUM(_xlfn.FILTER((_xlfn.VSTACK('Без этажа'!D3:D1000)*1.005*((_xlfn.VSTACK('Без этажа'!D3:D1000))-(-32))*1.2/3600),(_xlfn.VSTACK('Без этажа'!K3:K1000)=A174)+(_xlfn.VSTACK('Без этажа'!L3:L1000)=A174))),0)</f>
        <v>0</v>
      </c>
      <c r="F174" s="4"/>
      <c r="G174" s="4"/>
      <c r="H174" s="4"/>
      <c r="I174" s="4"/>
      <c r="J174" s="4"/>
      <c r="K174" s="4"/>
      <c r="L174" s="6">
        <f>J174+K174</f>
        <v>0</v>
      </c>
      <c r="M174" s="4"/>
      <c r="N174" s="4"/>
      <c r="O174" s="4"/>
    </row>
    <row r="175" spans="1:15">
      <c r="A175" s="4" t="s">
        <v>111</v>
      </c>
      <c r="B175" s="4" cm="1">
        <f t="array" ref="B175">IFERROR(_xlfn.TEXTJOIN(", ",TRUE,_xlfn.UNIQUE(_xlfn.FILTER(_xlfn.VSTACK('Без этажа'!B3:B1000),(_xlfn.VSTACK('Без этажа'!K3:K1000)=A175)+(_xlfn.VSTACK('Без этажа'!L3:L1000)=A175)))),"Не найдено")</f>
        <v>0</v>
      </c>
      <c r="C175" s="6" cm="1">
        <f t="array" ref="C175">IFERROR(SUM(_xlfn.FILTER(_xlfn.VSTACK('Без этажа'!I3:I1000),(_xlfn.VSTACK('Без этажа'!K3:K1000)=A175)+(_xlfn.VSTACK('Без этажа'!L3:L1000)=A175)))+SUM(_xlfn.FILTER(_xlfn.VSTACK('Без этажа'!J3:J1000),(_xlfn.VSTACK('Без этажа'!K3:K1000)=A175)+(_xlfn.VSTACK('Без этажа'!L3:L1000)=A175))),0)</f>
        <v>0</v>
      </c>
      <c r="D175" s="6">
        <f>C175*1.1</f>
        <v>0</v>
      </c>
      <c r="E175" s="6" cm="1">
        <f t="array" ref="E175">IFERROR(SUM(_xlfn.FILTER((_xlfn.VSTACK('Без этажа'!D3:D1000)*1.005*((_xlfn.VSTACK('Без этажа'!D3:D1000))-(-32))*1.2/3600),(_xlfn.VSTACK('Без этажа'!K3:K1000)=A175)+(_xlfn.VSTACK('Без этажа'!L3:L1000)=A175))),0)</f>
        <v>0</v>
      </c>
      <c r="F175" s="4"/>
      <c r="G175" s="4"/>
      <c r="H175" s="4"/>
      <c r="I175" s="4"/>
      <c r="J175" s="4"/>
      <c r="K175" s="4"/>
      <c r="L175" s="6">
        <f>J175+K175</f>
        <v>0</v>
      </c>
      <c r="M175" s="4"/>
      <c r="N175" s="4"/>
      <c r="O175" s="4"/>
    </row>
    <row r="176" spans="1:15">
      <c r="A176" s="4" t="s">
        <v>111</v>
      </c>
      <c r="B176" s="4" cm="1">
        <f t="array" ref="B176">IFERROR(_xlfn.TEXTJOIN(", ",TRUE,_xlfn.UNIQUE(_xlfn.FILTER(_xlfn.VSTACK('Без этажа'!B3:B1000),(_xlfn.VSTACK('Без этажа'!K3:K1000)=A176)+(_xlfn.VSTACK('Без этажа'!L3:L1000)=A176)))),"Не найдено")</f>
        <v>0</v>
      </c>
      <c r="C176" s="6" cm="1">
        <f t="array" ref="C176">IFERROR(SUM(_xlfn.FILTER(_xlfn.VSTACK('Без этажа'!I3:I1000),(_xlfn.VSTACK('Без этажа'!K3:K1000)=A176)+(_xlfn.VSTACK('Без этажа'!L3:L1000)=A176)))+SUM(_xlfn.FILTER(_xlfn.VSTACK('Без этажа'!J3:J1000),(_xlfn.VSTACK('Без этажа'!K3:K1000)=A176)+(_xlfn.VSTACK('Без этажа'!L3:L1000)=A176))),0)</f>
        <v>0</v>
      </c>
      <c r="D176" s="6">
        <f>C176*1.1</f>
        <v>0</v>
      </c>
      <c r="E176" s="6" cm="1">
        <f t="array" ref="E176">IFERROR(SUM(_xlfn.FILTER((_xlfn.VSTACK('Без этажа'!D3:D1000)*1.005*((_xlfn.VSTACK('Без этажа'!D3:D1000))-(-32))*1.2/3600),(_xlfn.VSTACK('Без этажа'!K3:K1000)=A176)+(_xlfn.VSTACK('Без этажа'!L3:L1000)=A176))),0)</f>
        <v>0</v>
      </c>
      <c r="F176" s="4"/>
      <c r="G176" s="4"/>
      <c r="H176" s="4"/>
      <c r="I176" s="4"/>
      <c r="J176" s="4"/>
      <c r="K176" s="4"/>
      <c r="L176" s="6">
        <f>J176+K176</f>
        <v>0</v>
      </c>
      <c r="M176" s="4"/>
      <c r="N176" s="4"/>
      <c r="O176" s="4"/>
    </row>
    <row r="177" spans="1:15">
      <c r="A177" s="4" t="s">
        <v>111</v>
      </c>
      <c r="B177" s="4" cm="1">
        <f t="array" ref="B177">IFERROR(_xlfn.TEXTJOIN(", ",TRUE,_xlfn.UNIQUE(_xlfn.FILTER(_xlfn.VSTACK('Без этажа'!B3:B1000),(_xlfn.VSTACK('Без этажа'!K3:K1000)=A177)+(_xlfn.VSTACK('Без этажа'!L3:L1000)=A177)))),"Не найдено")</f>
        <v>0</v>
      </c>
      <c r="C177" s="6" cm="1">
        <f t="array" ref="C177">IFERROR(SUM(_xlfn.FILTER(_xlfn.VSTACK('Без этажа'!I3:I1000),(_xlfn.VSTACK('Без этажа'!K3:K1000)=A177)+(_xlfn.VSTACK('Без этажа'!L3:L1000)=A177)))+SUM(_xlfn.FILTER(_xlfn.VSTACK('Без этажа'!J3:J1000),(_xlfn.VSTACK('Без этажа'!K3:K1000)=A177)+(_xlfn.VSTACK('Без этажа'!L3:L1000)=A177))),0)</f>
        <v>0</v>
      </c>
      <c r="D177" s="6">
        <f>C177*1.1</f>
        <v>0</v>
      </c>
      <c r="E177" s="6" cm="1">
        <f t="array" ref="E177">IFERROR(SUM(_xlfn.FILTER((_xlfn.VSTACK('Без этажа'!D3:D1000)*1.005*((_xlfn.VSTACK('Без этажа'!D3:D1000))-(-32))*1.2/3600),(_xlfn.VSTACK('Без этажа'!K3:K1000)=A177)+(_xlfn.VSTACK('Без этажа'!L3:L1000)=A177))),0)</f>
        <v>0</v>
      </c>
      <c r="F177" s="4"/>
      <c r="G177" s="4"/>
      <c r="H177" s="4"/>
      <c r="I177" s="4"/>
      <c r="J177" s="4"/>
      <c r="K177" s="4"/>
      <c r="L177" s="6">
        <f>J177+K177</f>
        <v>0</v>
      </c>
      <c r="M177" s="4"/>
      <c r="N177" s="4"/>
      <c r="O177" s="4"/>
    </row>
    <row r="178" spans="1:15">
      <c r="A178" s="4" t="s">
        <v>111</v>
      </c>
      <c r="B178" s="4" cm="1">
        <f t="array" ref="B178">IFERROR(_xlfn.TEXTJOIN(", ",TRUE,_xlfn.UNIQUE(_xlfn.FILTER(_xlfn.VSTACK('Без этажа'!B3:B1000),(_xlfn.VSTACK('Без этажа'!K3:K1000)=A178)+(_xlfn.VSTACK('Без этажа'!L3:L1000)=A178)))),"Не найдено")</f>
        <v>0</v>
      </c>
      <c r="C178" s="6" cm="1">
        <f t="array" ref="C178">IFERROR(SUM(_xlfn.FILTER(_xlfn.VSTACK('Без этажа'!I3:I1000),(_xlfn.VSTACK('Без этажа'!K3:K1000)=A178)+(_xlfn.VSTACK('Без этажа'!L3:L1000)=A178)))+SUM(_xlfn.FILTER(_xlfn.VSTACK('Без этажа'!J3:J1000),(_xlfn.VSTACK('Без этажа'!K3:K1000)=A178)+(_xlfn.VSTACK('Без этажа'!L3:L1000)=A178))),0)</f>
        <v>0</v>
      </c>
      <c r="D178" s="6">
        <f>C178*1.1</f>
        <v>0</v>
      </c>
      <c r="E178" s="6" cm="1">
        <f t="array" ref="E178">IFERROR(SUM(_xlfn.FILTER((_xlfn.VSTACK('Без этажа'!D3:D1000)*1.005*((_xlfn.VSTACK('Без этажа'!D3:D1000))-(-32))*1.2/3600),(_xlfn.VSTACK('Без этажа'!K3:K1000)=A178)+(_xlfn.VSTACK('Без этажа'!L3:L1000)=A178))),0)</f>
        <v>0</v>
      </c>
      <c r="F178" s="4"/>
      <c r="G178" s="4"/>
      <c r="H178" s="4"/>
      <c r="I178" s="4"/>
      <c r="J178" s="4"/>
      <c r="K178" s="4"/>
      <c r="L178" s="6">
        <f>J178+K178</f>
        <v>0</v>
      </c>
      <c r="M178" s="4"/>
      <c r="N178" s="4"/>
      <c r="O178" s="4"/>
    </row>
    <row r="179" spans="1:15">
      <c r="A179" s="4" t="s">
        <v>111</v>
      </c>
      <c r="B179" s="4" cm="1">
        <f t="array" ref="B179">IFERROR(_xlfn.TEXTJOIN(", ",TRUE,_xlfn.UNIQUE(_xlfn.FILTER(_xlfn.VSTACK('Без этажа'!B3:B1000),(_xlfn.VSTACK('Без этажа'!K3:K1000)=A179)+(_xlfn.VSTACK('Без этажа'!L3:L1000)=A179)))),"Не найдено")</f>
        <v>0</v>
      </c>
      <c r="C179" s="6" cm="1">
        <f t="array" ref="C179">IFERROR(SUM(_xlfn.FILTER(_xlfn.VSTACK('Без этажа'!I3:I1000),(_xlfn.VSTACK('Без этажа'!K3:K1000)=A179)+(_xlfn.VSTACK('Без этажа'!L3:L1000)=A179)))+SUM(_xlfn.FILTER(_xlfn.VSTACK('Без этажа'!J3:J1000),(_xlfn.VSTACK('Без этажа'!K3:K1000)=A179)+(_xlfn.VSTACK('Без этажа'!L3:L1000)=A179))),0)</f>
        <v>0</v>
      </c>
      <c r="D179" s="6">
        <f>C179*1.1</f>
        <v>0</v>
      </c>
      <c r="E179" s="6" cm="1">
        <f t="array" ref="E179">IFERROR(SUM(_xlfn.FILTER((_xlfn.VSTACK('Без этажа'!D3:D1000)*1.005*((_xlfn.VSTACK('Без этажа'!D3:D1000))-(-32))*1.2/3600),(_xlfn.VSTACK('Без этажа'!K3:K1000)=A179)+(_xlfn.VSTACK('Без этажа'!L3:L1000)=A179))),0)</f>
        <v>0</v>
      </c>
      <c r="F179" s="4"/>
      <c r="G179" s="4"/>
      <c r="H179" s="4"/>
      <c r="I179" s="4"/>
      <c r="J179" s="4"/>
      <c r="K179" s="4"/>
      <c r="L179" s="6">
        <f>J179+K179</f>
        <v>0</v>
      </c>
      <c r="M179" s="4"/>
      <c r="N179" s="4"/>
      <c r="O179" s="4"/>
    </row>
    <row r="180" spans="1:15">
      <c r="A180" s="4" t="s">
        <v>111</v>
      </c>
      <c r="B180" s="4" cm="1">
        <f t="array" ref="B180">IFERROR(_xlfn.TEXTJOIN(", ",TRUE,_xlfn.UNIQUE(_xlfn.FILTER(_xlfn.VSTACK('Без этажа'!B3:B1000),(_xlfn.VSTACK('Без этажа'!K3:K1000)=A180)+(_xlfn.VSTACK('Без этажа'!L3:L1000)=A180)))),"Не найдено")</f>
        <v>0</v>
      </c>
      <c r="C180" s="6" cm="1">
        <f t="array" ref="C180">IFERROR(SUM(_xlfn.FILTER(_xlfn.VSTACK('Без этажа'!I3:I1000),(_xlfn.VSTACK('Без этажа'!K3:K1000)=A180)+(_xlfn.VSTACK('Без этажа'!L3:L1000)=A180)))+SUM(_xlfn.FILTER(_xlfn.VSTACK('Без этажа'!J3:J1000),(_xlfn.VSTACK('Без этажа'!K3:K1000)=A180)+(_xlfn.VSTACK('Без этажа'!L3:L1000)=A180))),0)</f>
        <v>0</v>
      </c>
      <c r="D180" s="6">
        <f>C180*1.1</f>
        <v>0</v>
      </c>
      <c r="E180" s="6" cm="1">
        <f t="array" ref="E180">IFERROR(SUM(_xlfn.FILTER((_xlfn.VSTACK('Без этажа'!D3:D1000)*1.005*((_xlfn.VSTACK('Без этажа'!D3:D1000))-(-32))*1.2/3600),(_xlfn.VSTACK('Без этажа'!K3:K1000)=A180)+(_xlfn.VSTACK('Без этажа'!L3:L1000)=A180))),0)</f>
        <v>0</v>
      </c>
      <c r="F180" s="4"/>
      <c r="G180" s="4"/>
      <c r="H180" s="4"/>
      <c r="I180" s="4"/>
      <c r="J180" s="4"/>
      <c r="K180" s="4"/>
      <c r="L180" s="6">
        <f>J180+K180</f>
        <v>0</v>
      </c>
      <c r="M180" s="4"/>
      <c r="N180" s="4"/>
      <c r="O180" s="4"/>
    </row>
    <row r="181" spans="1:15">
      <c r="A181" s="4" t="s">
        <v>111</v>
      </c>
      <c r="B181" s="4" cm="1">
        <f t="array" ref="B181">IFERROR(_xlfn.TEXTJOIN(", ",TRUE,_xlfn.UNIQUE(_xlfn.FILTER(_xlfn.VSTACK('Без этажа'!B3:B1000),(_xlfn.VSTACK('Без этажа'!K3:K1000)=A181)+(_xlfn.VSTACK('Без этажа'!L3:L1000)=A181)))),"Не найдено")</f>
        <v>0</v>
      </c>
      <c r="C181" s="6" cm="1">
        <f t="array" ref="C181">IFERROR(SUM(_xlfn.FILTER(_xlfn.VSTACK('Без этажа'!I3:I1000),(_xlfn.VSTACK('Без этажа'!K3:K1000)=A181)+(_xlfn.VSTACK('Без этажа'!L3:L1000)=A181)))+SUM(_xlfn.FILTER(_xlfn.VSTACK('Без этажа'!J3:J1000),(_xlfn.VSTACK('Без этажа'!K3:K1000)=A181)+(_xlfn.VSTACK('Без этажа'!L3:L1000)=A181))),0)</f>
        <v>0</v>
      </c>
      <c r="D181" s="6">
        <f>C181*1.1</f>
        <v>0</v>
      </c>
      <c r="E181" s="6" cm="1">
        <f t="array" ref="E181">IFERROR(SUM(_xlfn.FILTER((_xlfn.VSTACK('Без этажа'!D3:D1000)*1.005*((_xlfn.VSTACK('Без этажа'!D3:D1000))-(-32))*1.2/3600),(_xlfn.VSTACK('Без этажа'!K3:K1000)=A181)+(_xlfn.VSTACK('Без этажа'!L3:L1000)=A181))),0)</f>
        <v>0</v>
      </c>
      <c r="F181" s="4"/>
      <c r="G181" s="4"/>
      <c r="H181" s="4"/>
      <c r="I181" s="4"/>
      <c r="J181" s="4"/>
      <c r="K181" s="4"/>
      <c r="L181" s="6">
        <f>J181+K181</f>
        <v>0</v>
      </c>
      <c r="M181" s="4"/>
      <c r="N181" s="4"/>
      <c r="O181" s="4"/>
    </row>
    <row r="182" spans="1:15">
      <c r="A182" s="4" t="s">
        <v>111</v>
      </c>
      <c r="B182" s="4" cm="1">
        <f t="array" ref="B182">IFERROR(_xlfn.TEXTJOIN(", ",TRUE,_xlfn.UNIQUE(_xlfn.FILTER(_xlfn.VSTACK('Без этажа'!B3:B1000),(_xlfn.VSTACK('Без этажа'!K3:K1000)=A182)+(_xlfn.VSTACK('Без этажа'!L3:L1000)=A182)))),"Не найдено")</f>
        <v>0</v>
      </c>
      <c r="C182" s="6" cm="1">
        <f t="array" ref="C182">IFERROR(SUM(_xlfn.FILTER(_xlfn.VSTACK('Без этажа'!I3:I1000),(_xlfn.VSTACK('Без этажа'!K3:K1000)=A182)+(_xlfn.VSTACK('Без этажа'!L3:L1000)=A182)))+SUM(_xlfn.FILTER(_xlfn.VSTACK('Без этажа'!J3:J1000),(_xlfn.VSTACK('Без этажа'!K3:K1000)=A182)+(_xlfn.VSTACK('Без этажа'!L3:L1000)=A182))),0)</f>
        <v>0</v>
      </c>
      <c r="D182" s="6">
        <f>C182*1.1</f>
        <v>0</v>
      </c>
      <c r="E182" s="6" cm="1">
        <f t="array" ref="E182">IFERROR(SUM(_xlfn.FILTER((_xlfn.VSTACK('Без этажа'!D3:D1000)*1.005*((_xlfn.VSTACK('Без этажа'!D3:D1000))-(-32))*1.2/3600),(_xlfn.VSTACK('Без этажа'!K3:K1000)=A182)+(_xlfn.VSTACK('Без этажа'!L3:L1000)=A182))),0)</f>
        <v>0</v>
      </c>
      <c r="F182" s="4"/>
      <c r="G182" s="4"/>
      <c r="H182" s="4"/>
      <c r="I182" s="4"/>
      <c r="J182" s="4"/>
      <c r="K182" s="4"/>
      <c r="L182" s="6">
        <f>J182+K182</f>
        <v>0</v>
      </c>
      <c r="M182" s="4"/>
      <c r="N182" s="4"/>
      <c r="O182" s="4"/>
    </row>
    <row r="183" spans="1:15">
      <c r="A183" s="4" t="s">
        <v>111</v>
      </c>
      <c r="B183" s="4" cm="1">
        <f t="array" ref="B183">IFERROR(_xlfn.TEXTJOIN(", ",TRUE,_xlfn.UNIQUE(_xlfn.FILTER(_xlfn.VSTACK('Без этажа'!B3:B1000),(_xlfn.VSTACK('Без этажа'!K3:K1000)=A183)+(_xlfn.VSTACK('Без этажа'!L3:L1000)=A183)))),"Не найдено")</f>
        <v>0</v>
      </c>
      <c r="C183" s="6" cm="1">
        <f t="array" ref="C183">IFERROR(SUM(_xlfn.FILTER(_xlfn.VSTACK('Без этажа'!I3:I1000),(_xlfn.VSTACK('Без этажа'!K3:K1000)=A183)+(_xlfn.VSTACK('Без этажа'!L3:L1000)=A183)))+SUM(_xlfn.FILTER(_xlfn.VSTACK('Без этажа'!J3:J1000),(_xlfn.VSTACK('Без этажа'!K3:K1000)=A183)+(_xlfn.VSTACK('Без этажа'!L3:L1000)=A183))),0)</f>
        <v>0</v>
      </c>
      <c r="D183" s="6">
        <f>C183*1.1</f>
        <v>0</v>
      </c>
      <c r="E183" s="6" cm="1">
        <f t="array" ref="E183">IFERROR(SUM(_xlfn.FILTER((_xlfn.VSTACK('Без этажа'!D3:D1000)*1.005*((_xlfn.VSTACK('Без этажа'!D3:D1000))-(-32))*1.2/3600),(_xlfn.VSTACK('Без этажа'!K3:K1000)=A183)+(_xlfn.VSTACK('Без этажа'!L3:L1000)=A183))),0)</f>
        <v>0</v>
      </c>
      <c r="F183" s="4"/>
      <c r="G183" s="4"/>
      <c r="H183" s="4"/>
      <c r="I183" s="4"/>
      <c r="J183" s="4"/>
      <c r="K183" s="4"/>
      <c r="L183" s="6">
        <f>J183+K183</f>
        <v>0</v>
      </c>
      <c r="M183" s="4"/>
      <c r="N183" s="4"/>
      <c r="O183" s="4"/>
    </row>
    <row r="184" spans="1:15">
      <c r="A184" s="4" t="s">
        <v>111</v>
      </c>
      <c r="B184" s="4" cm="1">
        <f t="array" ref="B184">IFERROR(_xlfn.TEXTJOIN(", ",TRUE,_xlfn.UNIQUE(_xlfn.FILTER(_xlfn.VSTACK('Без этажа'!B3:B1000),(_xlfn.VSTACK('Без этажа'!K3:K1000)=A184)+(_xlfn.VSTACK('Без этажа'!L3:L1000)=A184)))),"Не найдено")</f>
        <v>0</v>
      </c>
      <c r="C184" s="6" cm="1">
        <f t="array" ref="C184">IFERROR(SUM(_xlfn.FILTER(_xlfn.VSTACK('Без этажа'!I3:I1000),(_xlfn.VSTACK('Без этажа'!K3:K1000)=A184)+(_xlfn.VSTACK('Без этажа'!L3:L1000)=A184)))+SUM(_xlfn.FILTER(_xlfn.VSTACK('Без этажа'!J3:J1000),(_xlfn.VSTACK('Без этажа'!K3:K1000)=A184)+(_xlfn.VSTACK('Без этажа'!L3:L1000)=A184))),0)</f>
        <v>0</v>
      </c>
      <c r="D184" s="6">
        <f>C184*1.1</f>
        <v>0</v>
      </c>
      <c r="E184" s="6" cm="1">
        <f t="array" ref="E184">IFERROR(SUM(_xlfn.FILTER((_xlfn.VSTACK('Без этажа'!D3:D1000)*1.005*((_xlfn.VSTACK('Без этажа'!D3:D1000))-(-32))*1.2/3600),(_xlfn.VSTACK('Без этажа'!K3:K1000)=A184)+(_xlfn.VSTACK('Без этажа'!L3:L1000)=A184))),0)</f>
        <v>0</v>
      </c>
      <c r="F184" s="4"/>
      <c r="G184" s="4"/>
      <c r="H184" s="4"/>
      <c r="I184" s="4"/>
      <c r="J184" s="4"/>
      <c r="K184" s="4"/>
      <c r="L184" s="6">
        <f>J184+K184</f>
        <v>0</v>
      </c>
      <c r="M184" s="4"/>
      <c r="N184" s="4"/>
      <c r="O184" s="4"/>
    </row>
    <row r="185" spans="1:15">
      <c r="A185" s="4" t="s">
        <v>111</v>
      </c>
      <c r="B185" s="4" cm="1">
        <f t="array" ref="B185">IFERROR(_xlfn.TEXTJOIN(", ",TRUE,_xlfn.UNIQUE(_xlfn.FILTER(_xlfn.VSTACK('Без этажа'!B3:B1000),(_xlfn.VSTACK('Без этажа'!K3:K1000)=A185)+(_xlfn.VSTACK('Без этажа'!L3:L1000)=A185)))),"Не найдено")</f>
        <v>0</v>
      </c>
      <c r="C185" s="6" cm="1">
        <f t="array" ref="C185">IFERROR(SUM(_xlfn.FILTER(_xlfn.VSTACK('Без этажа'!I3:I1000),(_xlfn.VSTACK('Без этажа'!K3:K1000)=A185)+(_xlfn.VSTACK('Без этажа'!L3:L1000)=A185)))+SUM(_xlfn.FILTER(_xlfn.VSTACK('Без этажа'!J3:J1000),(_xlfn.VSTACK('Без этажа'!K3:K1000)=A185)+(_xlfn.VSTACK('Без этажа'!L3:L1000)=A185))),0)</f>
        <v>0</v>
      </c>
      <c r="D185" s="6">
        <f>C185*1.1</f>
        <v>0</v>
      </c>
      <c r="E185" s="6" cm="1">
        <f t="array" ref="E185">IFERROR(SUM(_xlfn.FILTER((_xlfn.VSTACK('Без этажа'!D3:D1000)*1.005*((_xlfn.VSTACK('Без этажа'!D3:D1000))-(-32))*1.2/3600),(_xlfn.VSTACK('Без этажа'!K3:K1000)=A185)+(_xlfn.VSTACK('Без этажа'!L3:L1000)=A185))),0)</f>
        <v>0</v>
      </c>
      <c r="F185" s="4"/>
      <c r="G185" s="4"/>
      <c r="H185" s="4"/>
      <c r="I185" s="4"/>
      <c r="J185" s="4"/>
      <c r="K185" s="4"/>
      <c r="L185" s="6">
        <f>J185+K185</f>
        <v>0</v>
      </c>
      <c r="M185" s="4"/>
      <c r="N185" s="4"/>
      <c r="O185" s="4"/>
    </row>
    <row r="186" spans="1:15">
      <c r="A186" s="4" t="s">
        <v>111</v>
      </c>
      <c r="B186" s="4" cm="1">
        <f t="array" ref="B186">IFERROR(_xlfn.TEXTJOIN(", ",TRUE,_xlfn.UNIQUE(_xlfn.FILTER(_xlfn.VSTACK('Без этажа'!B3:B1000),(_xlfn.VSTACK('Без этажа'!K3:K1000)=A186)+(_xlfn.VSTACK('Без этажа'!L3:L1000)=A186)))),"Не найдено")</f>
        <v>0</v>
      </c>
      <c r="C186" s="6" cm="1">
        <f t="array" ref="C186">IFERROR(SUM(_xlfn.FILTER(_xlfn.VSTACK('Без этажа'!I3:I1000),(_xlfn.VSTACK('Без этажа'!K3:K1000)=A186)+(_xlfn.VSTACK('Без этажа'!L3:L1000)=A186)))+SUM(_xlfn.FILTER(_xlfn.VSTACK('Без этажа'!J3:J1000),(_xlfn.VSTACK('Без этажа'!K3:K1000)=A186)+(_xlfn.VSTACK('Без этажа'!L3:L1000)=A186))),0)</f>
        <v>0</v>
      </c>
      <c r="D186" s="6">
        <f>C186*1.1</f>
        <v>0</v>
      </c>
      <c r="E186" s="6" cm="1">
        <f t="array" ref="E186">IFERROR(SUM(_xlfn.FILTER((_xlfn.VSTACK('Без этажа'!D3:D1000)*1.005*((_xlfn.VSTACK('Без этажа'!D3:D1000))-(-32))*1.2/3600),(_xlfn.VSTACK('Без этажа'!K3:K1000)=A186)+(_xlfn.VSTACK('Без этажа'!L3:L1000)=A186))),0)</f>
        <v>0</v>
      </c>
      <c r="F186" s="4"/>
      <c r="G186" s="4"/>
      <c r="H186" s="4"/>
      <c r="I186" s="4"/>
      <c r="J186" s="4"/>
      <c r="K186" s="4"/>
      <c r="L186" s="6">
        <f>J186+K186</f>
        <v>0</v>
      </c>
      <c r="M186" s="4"/>
      <c r="N186" s="4"/>
      <c r="O186" s="4"/>
    </row>
    <row r="187" spans="1:15">
      <c r="A187" s="4" t="s">
        <v>111</v>
      </c>
      <c r="B187" s="4" cm="1">
        <f t="array" ref="B187">IFERROR(_xlfn.TEXTJOIN(", ",TRUE,_xlfn.UNIQUE(_xlfn.FILTER(_xlfn.VSTACK('Без этажа'!B3:B1000),(_xlfn.VSTACK('Без этажа'!K3:K1000)=A187)+(_xlfn.VSTACK('Без этажа'!L3:L1000)=A187)))),"Не найдено")</f>
        <v>0</v>
      </c>
      <c r="C187" s="6" cm="1">
        <f t="array" ref="C187">IFERROR(SUM(_xlfn.FILTER(_xlfn.VSTACK('Без этажа'!I3:I1000),(_xlfn.VSTACK('Без этажа'!K3:K1000)=A187)+(_xlfn.VSTACK('Без этажа'!L3:L1000)=A187)))+SUM(_xlfn.FILTER(_xlfn.VSTACK('Без этажа'!J3:J1000),(_xlfn.VSTACK('Без этажа'!K3:K1000)=A187)+(_xlfn.VSTACK('Без этажа'!L3:L1000)=A187))),0)</f>
        <v>0</v>
      </c>
      <c r="D187" s="6">
        <f>C187*1.1</f>
        <v>0</v>
      </c>
      <c r="E187" s="6" cm="1">
        <f t="array" ref="E187">IFERROR(SUM(_xlfn.FILTER((_xlfn.VSTACK('Без этажа'!D3:D1000)*1.005*((_xlfn.VSTACK('Без этажа'!D3:D1000))-(-32))*1.2/3600),(_xlfn.VSTACK('Без этажа'!K3:K1000)=A187)+(_xlfn.VSTACK('Без этажа'!L3:L1000)=A187))),0)</f>
        <v>0</v>
      </c>
      <c r="F187" s="4"/>
      <c r="G187" s="4"/>
      <c r="H187" s="4"/>
      <c r="I187" s="4"/>
      <c r="J187" s="4"/>
      <c r="K187" s="4"/>
      <c r="L187" s="6">
        <f>J187+K187</f>
        <v>0</v>
      </c>
      <c r="M187" s="4"/>
      <c r="N187" s="4"/>
      <c r="O187" s="4"/>
    </row>
    <row r="188" spans="1:15">
      <c r="A188" s="4" t="s">
        <v>111</v>
      </c>
      <c r="B188" s="4" cm="1">
        <f t="array" ref="B188">IFERROR(_xlfn.TEXTJOIN(", ",TRUE,_xlfn.UNIQUE(_xlfn.FILTER(_xlfn.VSTACK('Без этажа'!B3:B1000),(_xlfn.VSTACK('Без этажа'!K3:K1000)=A188)+(_xlfn.VSTACK('Без этажа'!L3:L1000)=A188)))),"Не найдено")</f>
        <v>0</v>
      </c>
      <c r="C188" s="6" cm="1">
        <f t="array" ref="C188">IFERROR(SUM(_xlfn.FILTER(_xlfn.VSTACK('Без этажа'!I3:I1000),(_xlfn.VSTACK('Без этажа'!K3:K1000)=A188)+(_xlfn.VSTACK('Без этажа'!L3:L1000)=A188)))+SUM(_xlfn.FILTER(_xlfn.VSTACK('Без этажа'!J3:J1000),(_xlfn.VSTACK('Без этажа'!K3:K1000)=A188)+(_xlfn.VSTACK('Без этажа'!L3:L1000)=A188))),0)</f>
        <v>0</v>
      </c>
      <c r="D188" s="6">
        <f>C188*1.1</f>
        <v>0</v>
      </c>
      <c r="E188" s="6" cm="1">
        <f t="array" ref="E188">IFERROR(SUM(_xlfn.FILTER((_xlfn.VSTACK('Без этажа'!D3:D1000)*1.005*((_xlfn.VSTACK('Без этажа'!D3:D1000))-(-32))*1.2/3600),(_xlfn.VSTACK('Без этажа'!K3:K1000)=A188)+(_xlfn.VSTACK('Без этажа'!L3:L1000)=A188))),0)</f>
        <v>0</v>
      </c>
      <c r="F188" s="4"/>
      <c r="G188" s="4"/>
      <c r="H188" s="4"/>
      <c r="I188" s="4"/>
      <c r="J188" s="4"/>
      <c r="K188" s="4"/>
      <c r="L188" s="6">
        <f>J188+K188</f>
        <v>0</v>
      </c>
      <c r="M188" s="4"/>
      <c r="N188" s="4"/>
      <c r="O188" s="4"/>
    </row>
    <row r="189" spans="1:15">
      <c r="A189" s="4" t="s">
        <v>111</v>
      </c>
      <c r="B189" s="4" cm="1">
        <f t="array" ref="B189">IFERROR(_xlfn.TEXTJOIN(", ",TRUE,_xlfn.UNIQUE(_xlfn.FILTER(_xlfn.VSTACK('Без этажа'!B3:B1000),(_xlfn.VSTACK('Без этажа'!K3:K1000)=A189)+(_xlfn.VSTACK('Без этажа'!L3:L1000)=A189)))),"Не найдено")</f>
        <v>0</v>
      </c>
      <c r="C189" s="6" cm="1">
        <f t="array" ref="C189">IFERROR(SUM(_xlfn.FILTER(_xlfn.VSTACK('Без этажа'!I3:I1000),(_xlfn.VSTACK('Без этажа'!K3:K1000)=A189)+(_xlfn.VSTACK('Без этажа'!L3:L1000)=A189)))+SUM(_xlfn.FILTER(_xlfn.VSTACK('Без этажа'!J3:J1000),(_xlfn.VSTACK('Без этажа'!K3:K1000)=A189)+(_xlfn.VSTACK('Без этажа'!L3:L1000)=A189))),0)</f>
        <v>0</v>
      </c>
      <c r="D189" s="6">
        <f>C189*1.1</f>
        <v>0</v>
      </c>
      <c r="E189" s="6" cm="1">
        <f t="array" ref="E189">IFERROR(SUM(_xlfn.FILTER((_xlfn.VSTACK('Без этажа'!D3:D1000)*1.005*((_xlfn.VSTACK('Без этажа'!D3:D1000))-(-32))*1.2/3600),(_xlfn.VSTACK('Без этажа'!K3:K1000)=A189)+(_xlfn.VSTACK('Без этажа'!L3:L1000)=A189))),0)</f>
        <v>0</v>
      </c>
      <c r="F189" s="4"/>
      <c r="G189" s="4"/>
      <c r="H189" s="4"/>
      <c r="I189" s="4"/>
      <c r="J189" s="4"/>
      <c r="K189" s="4"/>
      <c r="L189" s="6">
        <f>J189+K189</f>
        <v>0</v>
      </c>
      <c r="M189" s="4"/>
      <c r="N189" s="4"/>
      <c r="O189" s="4"/>
    </row>
    <row r="190" spans="1:15">
      <c r="A190" s="4" t="s">
        <v>111</v>
      </c>
      <c r="B190" s="4" cm="1">
        <f t="array" ref="B190">IFERROR(_xlfn.TEXTJOIN(", ",TRUE,_xlfn.UNIQUE(_xlfn.FILTER(_xlfn.VSTACK('Без этажа'!B3:B1000),(_xlfn.VSTACK('Без этажа'!K3:K1000)=A190)+(_xlfn.VSTACK('Без этажа'!L3:L1000)=A190)))),"Не найдено")</f>
        <v>0</v>
      </c>
      <c r="C190" s="6" cm="1">
        <f t="array" ref="C190">IFERROR(SUM(_xlfn.FILTER(_xlfn.VSTACK('Без этажа'!I3:I1000),(_xlfn.VSTACK('Без этажа'!K3:K1000)=A190)+(_xlfn.VSTACK('Без этажа'!L3:L1000)=A190)))+SUM(_xlfn.FILTER(_xlfn.VSTACK('Без этажа'!J3:J1000),(_xlfn.VSTACK('Без этажа'!K3:K1000)=A190)+(_xlfn.VSTACK('Без этажа'!L3:L1000)=A190))),0)</f>
        <v>0</v>
      </c>
      <c r="D190" s="6">
        <f>C190*1.1</f>
        <v>0</v>
      </c>
      <c r="E190" s="6" cm="1">
        <f t="array" ref="E190">IFERROR(SUM(_xlfn.FILTER((_xlfn.VSTACK('Без этажа'!D3:D1000)*1.005*((_xlfn.VSTACK('Без этажа'!D3:D1000))-(-32))*1.2/3600),(_xlfn.VSTACK('Без этажа'!K3:K1000)=A190)+(_xlfn.VSTACK('Без этажа'!L3:L1000)=A190))),0)</f>
        <v>0</v>
      </c>
      <c r="F190" s="4"/>
      <c r="G190" s="4"/>
      <c r="H190" s="4"/>
      <c r="I190" s="4"/>
      <c r="J190" s="4"/>
      <c r="K190" s="4"/>
      <c r="L190" s="6">
        <f>J190+K190</f>
        <v>0</v>
      </c>
      <c r="M190" s="4"/>
      <c r="N190" s="4"/>
      <c r="O190" s="4"/>
    </row>
    <row r="191" spans="1:15">
      <c r="A191" s="4" t="s">
        <v>111</v>
      </c>
      <c r="B191" s="4" cm="1">
        <f t="array" ref="B191">IFERROR(_xlfn.TEXTJOIN(", ",TRUE,_xlfn.UNIQUE(_xlfn.FILTER(_xlfn.VSTACK('Без этажа'!B3:B1000),(_xlfn.VSTACK('Без этажа'!K3:K1000)=A191)+(_xlfn.VSTACK('Без этажа'!L3:L1000)=A191)))),"Не найдено")</f>
        <v>0</v>
      </c>
      <c r="C191" s="6" cm="1">
        <f t="array" ref="C191">IFERROR(SUM(_xlfn.FILTER(_xlfn.VSTACK('Без этажа'!I3:I1000),(_xlfn.VSTACK('Без этажа'!K3:K1000)=A191)+(_xlfn.VSTACK('Без этажа'!L3:L1000)=A191)))+SUM(_xlfn.FILTER(_xlfn.VSTACK('Без этажа'!J3:J1000),(_xlfn.VSTACK('Без этажа'!K3:K1000)=A191)+(_xlfn.VSTACK('Без этажа'!L3:L1000)=A191))),0)</f>
        <v>0</v>
      </c>
      <c r="D191" s="6">
        <f>C191*1.1</f>
        <v>0</v>
      </c>
      <c r="E191" s="6" cm="1">
        <f t="array" ref="E191">IFERROR(SUM(_xlfn.FILTER((_xlfn.VSTACK('Без этажа'!D3:D1000)*1.005*((_xlfn.VSTACK('Без этажа'!D3:D1000))-(-32))*1.2/3600),(_xlfn.VSTACK('Без этажа'!K3:K1000)=A191)+(_xlfn.VSTACK('Без этажа'!L3:L1000)=A191))),0)</f>
        <v>0</v>
      </c>
      <c r="F191" s="4"/>
      <c r="G191" s="4"/>
      <c r="H191" s="4"/>
      <c r="I191" s="4"/>
      <c r="J191" s="4"/>
      <c r="K191" s="4"/>
      <c r="L191" s="6">
        <f>J191+K191</f>
        <v>0</v>
      </c>
      <c r="M191" s="4"/>
      <c r="N191" s="4"/>
      <c r="O191" s="4"/>
    </row>
    <row r="192" spans="1:15">
      <c r="A192" s="4" t="s">
        <v>111</v>
      </c>
      <c r="B192" s="4" cm="1">
        <f t="array" ref="B192">IFERROR(_xlfn.TEXTJOIN(", ",TRUE,_xlfn.UNIQUE(_xlfn.FILTER(_xlfn.VSTACK('Без этажа'!B3:B1000),(_xlfn.VSTACK('Без этажа'!K3:K1000)=A192)+(_xlfn.VSTACK('Без этажа'!L3:L1000)=A192)))),"Не найдено")</f>
        <v>0</v>
      </c>
      <c r="C192" s="6" cm="1">
        <f t="array" ref="C192">IFERROR(SUM(_xlfn.FILTER(_xlfn.VSTACK('Без этажа'!I3:I1000),(_xlfn.VSTACK('Без этажа'!K3:K1000)=A192)+(_xlfn.VSTACK('Без этажа'!L3:L1000)=A192)))+SUM(_xlfn.FILTER(_xlfn.VSTACK('Без этажа'!J3:J1000),(_xlfn.VSTACK('Без этажа'!K3:K1000)=A192)+(_xlfn.VSTACK('Без этажа'!L3:L1000)=A192))),0)</f>
        <v>0</v>
      </c>
      <c r="D192" s="6">
        <f>C192*1.1</f>
        <v>0</v>
      </c>
      <c r="E192" s="6" cm="1">
        <f t="array" ref="E192">IFERROR(SUM(_xlfn.FILTER((_xlfn.VSTACK('Без этажа'!D3:D1000)*1.005*((_xlfn.VSTACK('Без этажа'!D3:D1000))-(-32))*1.2/3600),(_xlfn.VSTACK('Без этажа'!K3:K1000)=A192)+(_xlfn.VSTACK('Без этажа'!L3:L1000)=A192))),0)</f>
        <v>0</v>
      </c>
      <c r="F192" s="4"/>
      <c r="G192" s="4"/>
      <c r="H192" s="4"/>
      <c r="I192" s="4"/>
      <c r="J192" s="4"/>
      <c r="K192" s="4"/>
      <c r="L192" s="6">
        <f>J192+K192</f>
        <v>0</v>
      </c>
      <c r="M192" s="4"/>
      <c r="N192" s="4"/>
      <c r="O192" s="4"/>
    </row>
    <row r="193" spans="1:15">
      <c r="A193" s="4" t="s">
        <v>111</v>
      </c>
      <c r="B193" s="4" cm="1">
        <f t="array" ref="B193">IFERROR(_xlfn.TEXTJOIN(", ",TRUE,_xlfn.UNIQUE(_xlfn.FILTER(_xlfn.VSTACK('Без этажа'!B3:B1000),(_xlfn.VSTACK('Без этажа'!K3:K1000)=A193)+(_xlfn.VSTACK('Без этажа'!L3:L1000)=A193)))),"Не найдено")</f>
        <v>0</v>
      </c>
      <c r="C193" s="6" cm="1">
        <f t="array" ref="C193">IFERROR(SUM(_xlfn.FILTER(_xlfn.VSTACK('Без этажа'!I3:I1000),(_xlfn.VSTACK('Без этажа'!K3:K1000)=A193)+(_xlfn.VSTACK('Без этажа'!L3:L1000)=A193)))+SUM(_xlfn.FILTER(_xlfn.VSTACK('Без этажа'!J3:J1000),(_xlfn.VSTACK('Без этажа'!K3:K1000)=A193)+(_xlfn.VSTACK('Без этажа'!L3:L1000)=A193))),0)</f>
        <v>0</v>
      </c>
      <c r="D193" s="6">
        <f>C193*1.1</f>
        <v>0</v>
      </c>
      <c r="E193" s="6" cm="1">
        <f t="array" ref="E193">IFERROR(SUM(_xlfn.FILTER((_xlfn.VSTACK('Без этажа'!D3:D1000)*1.005*((_xlfn.VSTACK('Без этажа'!D3:D1000))-(-32))*1.2/3600),(_xlfn.VSTACK('Без этажа'!K3:K1000)=A193)+(_xlfn.VSTACK('Без этажа'!L3:L1000)=A193))),0)</f>
        <v>0</v>
      </c>
      <c r="F193" s="4"/>
      <c r="G193" s="4"/>
      <c r="H193" s="4"/>
      <c r="I193" s="4"/>
      <c r="J193" s="4"/>
      <c r="K193" s="4"/>
      <c r="L193" s="6">
        <f>J193+K193</f>
        <v>0</v>
      </c>
      <c r="M193" s="4"/>
      <c r="N193" s="4"/>
      <c r="O193" s="4"/>
    </row>
    <row r="194" spans="1:15">
      <c r="A194" s="4" t="s">
        <v>111</v>
      </c>
      <c r="B194" s="4" cm="1">
        <f t="array" ref="B194">IFERROR(_xlfn.TEXTJOIN(", ",TRUE,_xlfn.UNIQUE(_xlfn.FILTER(_xlfn.VSTACK('Без этажа'!B3:B1000),(_xlfn.VSTACK('Без этажа'!K3:K1000)=A194)+(_xlfn.VSTACK('Без этажа'!L3:L1000)=A194)))),"Не найдено")</f>
        <v>0</v>
      </c>
      <c r="C194" s="6" cm="1">
        <f t="array" ref="C194">IFERROR(SUM(_xlfn.FILTER(_xlfn.VSTACK('Без этажа'!I3:I1000),(_xlfn.VSTACK('Без этажа'!K3:K1000)=A194)+(_xlfn.VSTACK('Без этажа'!L3:L1000)=A194)))+SUM(_xlfn.FILTER(_xlfn.VSTACK('Без этажа'!J3:J1000),(_xlfn.VSTACK('Без этажа'!K3:K1000)=A194)+(_xlfn.VSTACK('Без этажа'!L3:L1000)=A194))),0)</f>
        <v>0</v>
      </c>
      <c r="D194" s="6">
        <f>C194*1.1</f>
        <v>0</v>
      </c>
      <c r="E194" s="6" cm="1">
        <f t="array" ref="E194">IFERROR(SUM(_xlfn.FILTER((_xlfn.VSTACK('Без этажа'!D3:D1000)*1.005*((_xlfn.VSTACK('Без этажа'!D3:D1000))-(-32))*1.2/3600),(_xlfn.VSTACK('Без этажа'!K3:K1000)=A194)+(_xlfn.VSTACK('Без этажа'!L3:L1000)=A194))),0)</f>
        <v>0</v>
      </c>
      <c r="F194" s="4"/>
      <c r="G194" s="4"/>
      <c r="H194" s="4"/>
      <c r="I194" s="4"/>
      <c r="J194" s="4"/>
      <c r="K194" s="4"/>
      <c r="L194" s="6">
        <f>J194+K194</f>
        <v>0</v>
      </c>
      <c r="M194" s="4"/>
      <c r="N194" s="4"/>
      <c r="O194" s="4"/>
    </row>
    <row r="195" spans="1:15">
      <c r="A195" s="4" t="s">
        <v>111</v>
      </c>
      <c r="B195" s="4" cm="1">
        <f t="array" ref="B195">IFERROR(_xlfn.TEXTJOIN(", ",TRUE,_xlfn.UNIQUE(_xlfn.FILTER(_xlfn.VSTACK('Без этажа'!B3:B1000),(_xlfn.VSTACK('Без этажа'!K3:K1000)=A195)+(_xlfn.VSTACK('Без этажа'!L3:L1000)=A195)))),"Не найдено")</f>
        <v>0</v>
      </c>
      <c r="C195" s="6" cm="1">
        <f t="array" ref="C195">IFERROR(SUM(_xlfn.FILTER(_xlfn.VSTACK('Без этажа'!I3:I1000),(_xlfn.VSTACK('Без этажа'!K3:K1000)=A195)+(_xlfn.VSTACK('Без этажа'!L3:L1000)=A195)))+SUM(_xlfn.FILTER(_xlfn.VSTACK('Без этажа'!J3:J1000),(_xlfn.VSTACK('Без этажа'!K3:K1000)=A195)+(_xlfn.VSTACK('Без этажа'!L3:L1000)=A195))),0)</f>
        <v>0</v>
      </c>
      <c r="D195" s="6">
        <f>C195*1.1</f>
        <v>0</v>
      </c>
      <c r="E195" s="6" cm="1">
        <f t="array" ref="E195">IFERROR(SUM(_xlfn.FILTER((_xlfn.VSTACK('Без этажа'!D3:D1000)*1.005*((_xlfn.VSTACK('Без этажа'!D3:D1000))-(-32))*1.2/3600),(_xlfn.VSTACK('Без этажа'!K3:K1000)=A195)+(_xlfn.VSTACK('Без этажа'!L3:L1000)=A195))),0)</f>
        <v>0</v>
      </c>
      <c r="F195" s="4"/>
      <c r="G195" s="4"/>
      <c r="H195" s="4"/>
      <c r="I195" s="4"/>
      <c r="J195" s="4"/>
      <c r="K195" s="4"/>
      <c r="L195" s="6">
        <f>J195+K195</f>
        <v>0</v>
      </c>
      <c r="M195" s="4"/>
      <c r="N195" s="4"/>
      <c r="O195" s="4"/>
    </row>
    <row r="196" spans="1:15">
      <c r="A196" s="4" t="s">
        <v>111</v>
      </c>
      <c r="B196" s="4" cm="1">
        <f t="array" ref="B196">IFERROR(_xlfn.TEXTJOIN(", ",TRUE,_xlfn.UNIQUE(_xlfn.FILTER(_xlfn.VSTACK('Без этажа'!B3:B1000),(_xlfn.VSTACK('Без этажа'!K3:K1000)=A196)+(_xlfn.VSTACK('Без этажа'!L3:L1000)=A196)))),"Не найдено")</f>
        <v>0</v>
      </c>
      <c r="C196" s="6" cm="1">
        <f t="array" ref="C196">IFERROR(SUM(_xlfn.FILTER(_xlfn.VSTACK('Без этажа'!I3:I1000),(_xlfn.VSTACK('Без этажа'!K3:K1000)=A196)+(_xlfn.VSTACK('Без этажа'!L3:L1000)=A196)))+SUM(_xlfn.FILTER(_xlfn.VSTACK('Без этажа'!J3:J1000),(_xlfn.VSTACK('Без этажа'!K3:K1000)=A196)+(_xlfn.VSTACK('Без этажа'!L3:L1000)=A196))),0)</f>
        <v>0</v>
      </c>
      <c r="D196" s="6">
        <f>C196*1.1</f>
        <v>0</v>
      </c>
      <c r="E196" s="6" cm="1">
        <f t="array" ref="E196">IFERROR(SUM(_xlfn.FILTER((_xlfn.VSTACK('Без этажа'!D3:D1000)*1.005*((_xlfn.VSTACK('Без этажа'!D3:D1000))-(-32))*1.2/3600),(_xlfn.VSTACK('Без этажа'!K3:K1000)=A196)+(_xlfn.VSTACK('Без этажа'!L3:L1000)=A196))),0)</f>
        <v>0</v>
      </c>
      <c r="F196" s="4"/>
      <c r="G196" s="4"/>
      <c r="H196" s="4"/>
      <c r="I196" s="4"/>
      <c r="J196" s="4"/>
      <c r="K196" s="4"/>
      <c r="L196" s="6">
        <f>J196+K196</f>
        <v>0</v>
      </c>
      <c r="M196" s="4"/>
      <c r="N196" s="4"/>
      <c r="O196" s="4"/>
    </row>
    <row r="197" spans="1:15">
      <c r="A197" s="4" t="s">
        <v>111</v>
      </c>
      <c r="B197" s="4" cm="1">
        <f t="array" ref="B197">IFERROR(_xlfn.TEXTJOIN(", ",TRUE,_xlfn.UNIQUE(_xlfn.FILTER(_xlfn.VSTACK('Без этажа'!B3:B1000),(_xlfn.VSTACK('Без этажа'!K3:K1000)=A197)+(_xlfn.VSTACK('Без этажа'!L3:L1000)=A197)))),"Не найдено")</f>
        <v>0</v>
      </c>
      <c r="C197" s="6" cm="1">
        <f t="array" ref="C197">IFERROR(SUM(_xlfn.FILTER(_xlfn.VSTACK('Без этажа'!I3:I1000),(_xlfn.VSTACK('Без этажа'!K3:K1000)=A197)+(_xlfn.VSTACK('Без этажа'!L3:L1000)=A197)))+SUM(_xlfn.FILTER(_xlfn.VSTACK('Без этажа'!J3:J1000),(_xlfn.VSTACK('Без этажа'!K3:K1000)=A197)+(_xlfn.VSTACK('Без этажа'!L3:L1000)=A197))),0)</f>
        <v>0</v>
      </c>
      <c r="D197" s="6">
        <f>C197*1.1</f>
        <v>0</v>
      </c>
      <c r="E197" s="6" cm="1">
        <f t="array" ref="E197">IFERROR(SUM(_xlfn.FILTER((_xlfn.VSTACK('Без этажа'!D3:D1000)*1.005*((_xlfn.VSTACK('Без этажа'!D3:D1000))-(-32))*1.2/3600),(_xlfn.VSTACK('Без этажа'!K3:K1000)=A197)+(_xlfn.VSTACK('Без этажа'!L3:L1000)=A197))),0)</f>
        <v>0</v>
      </c>
      <c r="F197" s="4"/>
      <c r="G197" s="4"/>
      <c r="H197" s="4"/>
      <c r="I197" s="4"/>
      <c r="J197" s="4"/>
      <c r="K197" s="4"/>
      <c r="L197" s="6">
        <f>J197+K197</f>
        <v>0</v>
      </c>
      <c r="M197" s="4"/>
      <c r="N197" s="4"/>
      <c r="O197" s="4"/>
    </row>
    <row r="198" spans="1:15">
      <c r="A198" s="4" t="s">
        <v>111</v>
      </c>
      <c r="B198" s="4" cm="1">
        <f t="array" ref="B198">IFERROR(_xlfn.TEXTJOIN(", ",TRUE,_xlfn.UNIQUE(_xlfn.FILTER(_xlfn.VSTACK('Без этажа'!B3:B1000),(_xlfn.VSTACK('Без этажа'!K3:K1000)=A198)+(_xlfn.VSTACK('Без этажа'!L3:L1000)=A198)))),"Не найдено")</f>
        <v>0</v>
      </c>
      <c r="C198" s="6" cm="1">
        <f t="array" ref="C198">IFERROR(SUM(_xlfn.FILTER(_xlfn.VSTACK('Без этажа'!I3:I1000),(_xlfn.VSTACK('Без этажа'!K3:K1000)=A198)+(_xlfn.VSTACK('Без этажа'!L3:L1000)=A198)))+SUM(_xlfn.FILTER(_xlfn.VSTACK('Без этажа'!J3:J1000),(_xlfn.VSTACK('Без этажа'!K3:K1000)=A198)+(_xlfn.VSTACK('Без этажа'!L3:L1000)=A198))),0)</f>
        <v>0</v>
      </c>
      <c r="D198" s="6">
        <f>C198*1.1</f>
        <v>0</v>
      </c>
      <c r="E198" s="6" cm="1">
        <f t="array" ref="E198">IFERROR(SUM(_xlfn.FILTER((_xlfn.VSTACK('Без этажа'!D3:D1000)*1.005*((_xlfn.VSTACK('Без этажа'!D3:D1000))-(-32))*1.2/3600),(_xlfn.VSTACK('Без этажа'!K3:K1000)=A198)+(_xlfn.VSTACK('Без этажа'!L3:L1000)=A198))),0)</f>
        <v>0</v>
      </c>
      <c r="F198" s="4"/>
      <c r="G198" s="4"/>
      <c r="H198" s="4"/>
      <c r="I198" s="4"/>
      <c r="J198" s="4"/>
      <c r="K198" s="4"/>
      <c r="L198" s="6">
        <f>J198+K198</f>
        <v>0</v>
      </c>
      <c r="M198" s="4"/>
      <c r="N198" s="4"/>
      <c r="O198" s="4"/>
    </row>
    <row r="199" spans="1:15">
      <c r="A199" s="4" t="s">
        <v>111</v>
      </c>
      <c r="B199" s="4" cm="1">
        <f t="array" ref="B199">IFERROR(_xlfn.TEXTJOIN(", ",TRUE,_xlfn.UNIQUE(_xlfn.FILTER(_xlfn.VSTACK('Без этажа'!B3:B1000),(_xlfn.VSTACK('Без этажа'!K3:K1000)=A199)+(_xlfn.VSTACK('Без этажа'!L3:L1000)=A199)))),"Не найдено")</f>
        <v>0</v>
      </c>
      <c r="C199" s="6" cm="1">
        <f t="array" ref="C199">IFERROR(SUM(_xlfn.FILTER(_xlfn.VSTACK('Без этажа'!I3:I1000),(_xlfn.VSTACK('Без этажа'!K3:K1000)=A199)+(_xlfn.VSTACK('Без этажа'!L3:L1000)=A199)))+SUM(_xlfn.FILTER(_xlfn.VSTACK('Без этажа'!J3:J1000),(_xlfn.VSTACK('Без этажа'!K3:K1000)=A199)+(_xlfn.VSTACK('Без этажа'!L3:L1000)=A199))),0)</f>
        <v>0</v>
      </c>
      <c r="D199" s="6">
        <f>C199*1.1</f>
        <v>0</v>
      </c>
      <c r="E199" s="6" cm="1">
        <f t="array" ref="E199">IFERROR(SUM(_xlfn.FILTER((_xlfn.VSTACK('Без этажа'!D3:D1000)*1.005*((_xlfn.VSTACK('Без этажа'!D3:D1000))-(-32))*1.2/3600),(_xlfn.VSTACK('Без этажа'!K3:K1000)=A199)+(_xlfn.VSTACK('Без этажа'!L3:L1000)=A199))),0)</f>
        <v>0</v>
      </c>
      <c r="F199" s="4"/>
      <c r="G199" s="4"/>
      <c r="H199" s="4"/>
      <c r="I199" s="4"/>
      <c r="J199" s="4"/>
      <c r="K199" s="4"/>
      <c r="L199" s="6">
        <f>J199+K199</f>
        <v>0</v>
      </c>
      <c r="M199" s="4"/>
      <c r="N199" s="4"/>
      <c r="O199" s="4"/>
    </row>
    <row r="200" spans="1:15">
      <c r="A200" s="4" t="s">
        <v>111</v>
      </c>
      <c r="B200" s="4" cm="1">
        <f t="array" ref="B200">IFERROR(_xlfn.TEXTJOIN(", ",TRUE,_xlfn.UNIQUE(_xlfn.FILTER(_xlfn.VSTACK('Без этажа'!B3:B1000),(_xlfn.VSTACK('Без этажа'!K3:K1000)=A200)+(_xlfn.VSTACK('Без этажа'!L3:L1000)=A200)))),"Не найдено")</f>
        <v>0</v>
      </c>
      <c r="C200" s="6" cm="1">
        <f t="array" ref="C200">IFERROR(SUM(_xlfn.FILTER(_xlfn.VSTACK('Без этажа'!I3:I1000),(_xlfn.VSTACK('Без этажа'!K3:K1000)=A200)+(_xlfn.VSTACK('Без этажа'!L3:L1000)=A200)))+SUM(_xlfn.FILTER(_xlfn.VSTACK('Без этажа'!J3:J1000),(_xlfn.VSTACK('Без этажа'!K3:K1000)=A200)+(_xlfn.VSTACK('Без этажа'!L3:L1000)=A200))),0)</f>
        <v>0</v>
      </c>
      <c r="D200" s="6">
        <f>C200*1.1</f>
        <v>0</v>
      </c>
      <c r="E200" s="6" cm="1">
        <f t="array" ref="E200">IFERROR(SUM(_xlfn.FILTER((_xlfn.VSTACK('Без этажа'!D3:D1000)*1.005*((_xlfn.VSTACK('Без этажа'!D3:D1000))-(-32))*1.2/3600),(_xlfn.VSTACK('Без этажа'!K3:K1000)=A200)+(_xlfn.VSTACK('Без этажа'!L3:L1000)=A200))),0)</f>
        <v>0</v>
      </c>
      <c r="F200" s="4"/>
      <c r="G200" s="4"/>
      <c r="H200" s="4"/>
      <c r="I200" s="4"/>
      <c r="J200" s="4"/>
      <c r="K200" s="4"/>
      <c r="L200" s="6">
        <f>J200+K200</f>
        <v>0</v>
      </c>
      <c r="M200" s="4"/>
      <c r="N200" s="4"/>
      <c r="O200" s="4"/>
    </row>
    <row r="201" spans="1:15">
      <c r="A201" s="4" t="s">
        <v>111</v>
      </c>
      <c r="B201" s="4" cm="1">
        <f t="array" ref="B201">IFERROR(_xlfn.TEXTJOIN(", ",TRUE,_xlfn.UNIQUE(_xlfn.FILTER(_xlfn.VSTACK('Без этажа'!B3:B1000),(_xlfn.VSTACK('Без этажа'!K3:K1000)=A201)+(_xlfn.VSTACK('Без этажа'!L3:L1000)=A201)))),"Не найдено")</f>
        <v>0</v>
      </c>
      <c r="C201" s="6" cm="1">
        <f t="array" ref="C201">IFERROR(SUM(_xlfn.FILTER(_xlfn.VSTACK('Без этажа'!I3:I1000),(_xlfn.VSTACK('Без этажа'!K3:K1000)=A201)+(_xlfn.VSTACK('Без этажа'!L3:L1000)=A201)))+SUM(_xlfn.FILTER(_xlfn.VSTACK('Без этажа'!J3:J1000),(_xlfn.VSTACK('Без этажа'!K3:K1000)=A201)+(_xlfn.VSTACK('Без этажа'!L3:L1000)=A201))),0)</f>
        <v>0</v>
      </c>
      <c r="D201" s="6">
        <f>C201*1.1</f>
        <v>0</v>
      </c>
      <c r="E201" s="6" cm="1">
        <f t="array" ref="E201">IFERROR(SUM(_xlfn.FILTER((_xlfn.VSTACK('Без этажа'!D3:D1000)*1.005*((_xlfn.VSTACK('Без этажа'!D3:D1000))-(-32))*1.2/3600),(_xlfn.VSTACK('Без этажа'!K3:K1000)=A201)+(_xlfn.VSTACK('Без этажа'!L3:L1000)=A201))),0)</f>
        <v>0</v>
      </c>
      <c r="F201" s="4"/>
      <c r="G201" s="4"/>
      <c r="H201" s="4"/>
      <c r="I201" s="4"/>
      <c r="J201" s="4"/>
      <c r="K201" s="4"/>
      <c r="L201" s="6">
        <f>J201+K201</f>
        <v>0</v>
      </c>
      <c r="M201" s="4"/>
      <c r="N201" s="4"/>
      <c r="O201" s="4"/>
    </row>
    <row r="202" spans="1:15">
      <c r="A202" s="4" t="s">
        <v>111</v>
      </c>
      <c r="B202" s="4" cm="1">
        <f t="array" ref="B202">IFERROR(_xlfn.TEXTJOIN(", ",TRUE,_xlfn.UNIQUE(_xlfn.FILTER(_xlfn.VSTACK('Без этажа'!B3:B1000),(_xlfn.VSTACK('Без этажа'!K3:K1000)=A202)+(_xlfn.VSTACK('Без этажа'!L3:L1000)=A202)))),"Не найдено")</f>
        <v>0</v>
      </c>
      <c r="C202" s="6" cm="1">
        <f t="array" ref="C202">IFERROR(SUM(_xlfn.FILTER(_xlfn.VSTACK('Без этажа'!I3:I1000),(_xlfn.VSTACK('Без этажа'!K3:K1000)=A202)+(_xlfn.VSTACK('Без этажа'!L3:L1000)=A202)))+SUM(_xlfn.FILTER(_xlfn.VSTACK('Без этажа'!J3:J1000),(_xlfn.VSTACK('Без этажа'!K3:K1000)=A202)+(_xlfn.VSTACK('Без этажа'!L3:L1000)=A202))),0)</f>
        <v>0</v>
      </c>
      <c r="D202" s="6">
        <f>C202*1.1</f>
        <v>0</v>
      </c>
      <c r="E202" s="6" cm="1">
        <f t="array" ref="E202">IFERROR(SUM(_xlfn.FILTER((_xlfn.VSTACK('Без этажа'!D3:D1000)*1.005*((_xlfn.VSTACK('Без этажа'!D3:D1000))-(-32))*1.2/3600),(_xlfn.VSTACK('Без этажа'!K3:K1000)=A202)+(_xlfn.VSTACK('Без этажа'!L3:L1000)=A202))),0)</f>
        <v>0</v>
      </c>
      <c r="F202" s="4"/>
      <c r="G202" s="4"/>
      <c r="H202" s="4"/>
      <c r="I202" s="4"/>
      <c r="J202" s="4"/>
      <c r="K202" s="4"/>
      <c r="L202" s="6">
        <f>J202+K202</f>
        <v>0</v>
      </c>
      <c r="M202" s="4"/>
      <c r="N202" s="4"/>
      <c r="O20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5.7109375" customWidth="1"/>
    <col min="3" max="5" width="16.7109375" customWidth="1"/>
    <col min="6" max="6" width="18.7109375" customWidth="1"/>
    <col min="7" max="7" width="22.7109375" customWidth="1"/>
    <col min="8" max="8" width="16.7109375" customWidth="1"/>
    <col min="9" max="9" width="18.7109375" customWidth="1"/>
    <col min="10" max="11" width="24.7109375" customWidth="1"/>
    <col min="12" max="12" width="28.7109375" customWidth="1"/>
    <col min="13" max="13" width="18.7109375" customWidth="1"/>
  </cols>
  <sheetData>
    <row r="1" spans="1:13">
      <c r="A1" s="2" t="s">
        <v>97</v>
      </c>
      <c r="B1" s="2" t="s">
        <v>98</v>
      </c>
      <c r="C1" s="2" t="s">
        <v>100</v>
      </c>
      <c r="D1" s="2" t="s">
        <v>108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  <c r="L1" s="2" t="s">
        <v>119</v>
      </c>
      <c r="M1" s="2" t="s">
        <v>13</v>
      </c>
    </row>
    <row r="3" spans="1:13">
      <c r="A3" s="4">
        <f>'Системы'!A3</f>
        <v>0</v>
      </c>
      <c r="B3" s="5"/>
      <c r="C3" s="6">
        <f>'Системы'!D3</f>
        <v>0</v>
      </c>
      <c r="D3" s="6">
        <f>'Системы'!L3</f>
        <v>0</v>
      </c>
      <c r="E3" s="4"/>
      <c r="F3" s="4"/>
      <c r="G3" s="4"/>
      <c r="H3" s="4"/>
      <c r="I3" s="4"/>
      <c r="J3" s="4"/>
      <c r="K3" s="4"/>
      <c r="L3" s="4"/>
      <c r="M3" s="4"/>
    </row>
    <row r="4" spans="1:13">
      <c r="A4" s="4">
        <f>'Системы'!A4</f>
        <v>0</v>
      </c>
      <c r="B4" s="5"/>
      <c r="C4" s="6">
        <f>'Системы'!D4</f>
        <v>0</v>
      </c>
      <c r="D4" s="6">
        <f>'Системы'!L4</f>
        <v>0</v>
      </c>
      <c r="E4" s="4"/>
      <c r="F4" s="4"/>
      <c r="G4" s="4"/>
      <c r="H4" s="4"/>
      <c r="I4" s="4"/>
      <c r="J4" s="4"/>
      <c r="K4" s="4"/>
      <c r="L4" s="4"/>
      <c r="M4" s="4"/>
    </row>
    <row r="5" spans="1:13">
      <c r="A5" s="4">
        <f>'Системы'!A5</f>
        <v>0</v>
      </c>
      <c r="B5" s="5"/>
      <c r="C5" s="6">
        <f>'Системы'!D5</f>
        <v>0</v>
      </c>
      <c r="D5" s="6">
        <f>'Системы'!L5</f>
        <v>0</v>
      </c>
      <c r="E5" s="4"/>
      <c r="F5" s="4"/>
      <c r="G5" s="4"/>
      <c r="H5" s="4"/>
      <c r="I5" s="4"/>
      <c r="J5" s="4"/>
      <c r="K5" s="4"/>
      <c r="L5" s="4"/>
      <c r="M5" s="4"/>
    </row>
    <row r="6" spans="1:13">
      <c r="A6" s="4">
        <f>'Системы'!A6</f>
        <v>0</v>
      </c>
      <c r="B6" s="5"/>
      <c r="C6" s="6">
        <f>'Системы'!D6</f>
        <v>0</v>
      </c>
      <c r="D6" s="6">
        <f>'Системы'!L6</f>
        <v>0</v>
      </c>
      <c r="E6" s="4"/>
      <c r="F6" s="4"/>
      <c r="G6" s="4"/>
      <c r="H6" s="4"/>
      <c r="I6" s="4"/>
      <c r="J6" s="4"/>
      <c r="K6" s="4"/>
      <c r="L6" s="4"/>
      <c r="M6" s="4"/>
    </row>
    <row r="7" spans="1:13">
      <c r="A7" s="4">
        <f>'Системы'!A7</f>
        <v>0</v>
      </c>
      <c r="B7" s="5"/>
      <c r="C7" s="6">
        <f>'Системы'!D7</f>
        <v>0</v>
      </c>
      <c r="D7" s="6">
        <f>'Системы'!L7</f>
        <v>0</v>
      </c>
      <c r="E7" s="4"/>
      <c r="F7" s="4"/>
      <c r="G7" s="4"/>
      <c r="H7" s="4"/>
      <c r="I7" s="4"/>
      <c r="J7" s="4"/>
      <c r="K7" s="4"/>
      <c r="L7" s="4"/>
      <c r="M7" s="4"/>
    </row>
    <row r="8" spans="1:13">
      <c r="A8" s="4">
        <f>'Системы'!A8</f>
        <v>0</v>
      </c>
      <c r="B8" s="5"/>
      <c r="C8" s="6">
        <f>'Системы'!D8</f>
        <v>0</v>
      </c>
      <c r="D8" s="6">
        <f>'Системы'!L8</f>
        <v>0</v>
      </c>
      <c r="E8" s="4"/>
      <c r="F8" s="4"/>
      <c r="G8" s="4"/>
      <c r="H8" s="4"/>
      <c r="I8" s="4"/>
      <c r="J8" s="4"/>
      <c r="K8" s="4"/>
      <c r="L8" s="4"/>
      <c r="M8" s="4"/>
    </row>
    <row r="9" spans="1:13">
      <c r="A9" s="4">
        <f>'Системы'!A9</f>
        <v>0</v>
      </c>
      <c r="B9" s="5"/>
      <c r="C9" s="6">
        <f>'Системы'!D9</f>
        <v>0</v>
      </c>
      <c r="D9" s="6">
        <f>'Системы'!L9</f>
        <v>0</v>
      </c>
      <c r="E9" s="4"/>
      <c r="F9" s="4"/>
      <c r="G9" s="4"/>
      <c r="H9" s="4"/>
      <c r="I9" s="4"/>
      <c r="J9" s="4"/>
      <c r="K9" s="4"/>
      <c r="L9" s="4"/>
      <c r="M9" s="4"/>
    </row>
    <row r="10" spans="1:13">
      <c r="A10" s="4">
        <f>'Системы'!A10</f>
        <v>0</v>
      </c>
      <c r="B10" s="5"/>
      <c r="C10" s="6">
        <f>'Системы'!D10</f>
        <v>0</v>
      </c>
      <c r="D10" s="6">
        <f>'Системы'!L10</f>
        <v>0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>
      <c r="A11" s="4">
        <f>'Системы'!A11</f>
        <v>0</v>
      </c>
      <c r="B11" s="5"/>
      <c r="C11" s="6">
        <f>'Системы'!D11</f>
        <v>0</v>
      </c>
      <c r="D11" s="6">
        <f>'Системы'!L11</f>
        <v>0</v>
      </c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4">
        <f>'Системы'!A12</f>
        <v>0</v>
      </c>
      <c r="B12" s="5"/>
      <c r="C12" s="6">
        <f>'Системы'!D12</f>
        <v>0</v>
      </c>
      <c r="D12" s="6">
        <f>'Системы'!L12</f>
        <v>0</v>
      </c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4">
        <f>'Системы'!A13</f>
        <v>0</v>
      </c>
      <c r="B13" s="5"/>
      <c r="C13" s="6">
        <f>'Системы'!D13</f>
        <v>0</v>
      </c>
      <c r="D13" s="6">
        <f>'Системы'!L13</f>
        <v>0</v>
      </c>
      <c r="E13" s="4"/>
      <c r="F13" s="4"/>
      <c r="G13" s="4"/>
      <c r="H13" s="4"/>
      <c r="I13" s="4"/>
      <c r="J13" s="4"/>
      <c r="K13" s="4"/>
      <c r="L13" s="4"/>
      <c r="M13" s="4"/>
    </row>
    <row r="14" spans="1:13">
      <c r="A14" s="4">
        <f>'Системы'!A14</f>
        <v>0</v>
      </c>
      <c r="B14" s="5"/>
      <c r="C14" s="6">
        <f>'Системы'!D14</f>
        <v>0</v>
      </c>
      <c r="D14" s="6">
        <f>'Системы'!L14</f>
        <v>0</v>
      </c>
      <c r="E14" s="4"/>
      <c r="F14" s="4"/>
      <c r="G14" s="4"/>
      <c r="H14" s="4"/>
      <c r="I14" s="4"/>
      <c r="J14" s="4"/>
      <c r="K14" s="4"/>
      <c r="L14" s="4"/>
      <c r="M14" s="4"/>
    </row>
    <row r="15" spans="1:13">
      <c r="A15" s="4">
        <f>'Системы'!A15</f>
        <v>0</v>
      </c>
      <c r="B15" s="5"/>
      <c r="C15" s="6">
        <f>'Системы'!D15</f>
        <v>0</v>
      </c>
      <c r="D15" s="6">
        <f>'Системы'!L15</f>
        <v>0</v>
      </c>
      <c r="E15" s="4"/>
      <c r="F15" s="4"/>
      <c r="G15" s="4"/>
      <c r="H15" s="4"/>
      <c r="I15" s="4"/>
      <c r="J15" s="4"/>
      <c r="K15" s="4"/>
      <c r="L15" s="4"/>
      <c r="M15" s="4"/>
    </row>
    <row r="16" spans="1:13">
      <c r="A16" s="4">
        <f>'Системы'!A16</f>
        <v>0</v>
      </c>
      <c r="B16" s="5"/>
      <c r="C16" s="6">
        <f>'Системы'!D16</f>
        <v>0</v>
      </c>
      <c r="D16" s="6">
        <f>'Системы'!L16</f>
        <v>0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>
      <c r="A17" s="4">
        <f>'Системы'!A17</f>
        <v>0</v>
      </c>
      <c r="B17" s="5"/>
      <c r="C17" s="6">
        <f>'Системы'!D17</f>
        <v>0</v>
      </c>
      <c r="D17" s="6">
        <f>'Системы'!L17</f>
        <v>0</v>
      </c>
      <c r="E17" s="4"/>
      <c r="F17" s="4"/>
      <c r="G17" s="4"/>
      <c r="H17" s="4"/>
      <c r="I17" s="4"/>
      <c r="J17" s="4"/>
      <c r="K17" s="4"/>
      <c r="L17" s="4"/>
      <c r="M17" s="4"/>
    </row>
    <row r="18" spans="1:13">
      <c r="A18" s="4">
        <f>'Системы'!A18</f>
        <v>0</v>
      </c>
      <c r="B18" s="5"/>
      <c r="C18" s="6">
        <f>'Системы'!D18</f>
        <v>0</v>
      </c>
      <c r="D18" s="6">
        <f>'Системы'!L18</f>
        <v>0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>
      <c r="A19" s="4">
        <f>'Системы'!A19</f>
        <v>0</v>
      </c>
      <c r="B19" s="5"/>
      <c r="C19" s="6">
        <f>'Системы'!D19</f>
        <v>0</v>
      </c>
      <c r="D19" s="6">
        <f>'Системы'!L19</f>
        <v>0</v>
      </c>
      <c r="E19" s="4"/>
      <c r="F19" s="4"/>
      <c r="G19" s="4"/>
      <c r="H19" s="4"/>
      <c r="I19" s="4"/>
      <c r="J19" s="4"/>
      <c r="K19" s="4"/>
      <c r="L19" s="4"/>
      <c r="M19" s="4"/>
    </row>
    <row r="20" spans="1:13">
      <c r="A20" s="4">
        <f>'Системы'!A20</f>
        <v>0</v>
      </c>
      <c r="B20" s="5"/>
      <c r="C20" s="6">
        <f>'Системы'!D20</f>
        <v>0</v>
      </c>
      <c r="D20" s="6">
        <f>'Системы'!L20</f>
        <v>0</v>
      </c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A21" s="4">
        <f>'Системы'!A21</f>
        <v>0</v>
      </c>
      <c r="B21" s="5"/>
      <c r="C21" s="6">
        <f>'Системы'!D21</f>
        <v>0</v>
      </c>
      <c r="D21" s="6">
        <f>'Системы'!L21</f>
        <v>0</v>
      </c>
      <c r="E21" s="4"/>
      <c r="F21" s="4"/>
      <c r="G21" s="4"/>
      <c r="H21" s="4"/>
      <c r="I21" s="4"/>
      <c r="J21" s="4"/>
      <c r="K21" s="4"/>
      <c r="L21" s="4"/>
      <c r="M21" s="4"/>
    </row>
    <row r="22" spans="1:13">
      <c r="A22" s="4">
        <f>'Системы'!A22</f>
        <v>0</v>
      </c>
      <c r="B22" s="5"/>
      <c r="C22" s="6">
        <f>'Системы'!D22</f>
        <v>0</v>
      </c>
      <c r="D22" s="6">
        <f>'Системы'!L22</f>
        <v>0</v>
      </c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s="4">
        <f>'Системы'!A23</f>
        <v>0</v>
      </c>
      <c r="B23" s="5"/>
      <c r="C23" s="6">
        <f>'Системы'!D23</f>
        <v>0</v>
      </c>
      <c r="D23" s="6">
        <f>'Системы'!L23</f>
        <v>0</v>
      </c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s="4">
        <f>'Системы'!A24</f>
        <v>0</v>
      </c>
      <c r="B24" s="5"/>
      <c r="C24" s="6">
        <f>'Системы'!D24</f>
        <v>0</v>
      </c>
      <c r="D24" s="6">
        <f>'Системы'!L24</f>
        <v>0</v>
      </c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s="4">
        <f>'Системы'!A25</f>
        <v>0</v>
      </c>
      <c r="B25" s="5"/>
      <c r="C25" s="6">
        <f>'Системы'!D25</f>
        <v>0</v>
      </c>
      <c r="D25" s="6">
        <f>'Системы'!L25</f>
        <v>0</v>
      </c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s="4">
        <f>'Системы'!A26</f>
        <v>0</v>
      </c>
      <c r="B26" s="5"/>
      <c r="C26" s="6">
        <f>'Системы'!D26</f>
        <v>0</v>
      </c>
      <c r="D26" s="6">
        <f>'Системы'!L26</f>
        <v>0</v>
      </c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4">
        <f>'Системы'!A27</f>
        <v>0</v>
      </c>
      <c r="B27" s="5"/>
      <c r="C27" s="6">
        <f>'Системы'!D27</f>
        <v>0</v>
      </c>
      <c r="D27" s="6">
        <f>'Системы'!L27</f>
        <v>0</v>
      </c>
      <c r="E27" s="4"/>
      <c r="F27" s="4"/>
      <c r="G27" s="4"/>
      <c r="H27" s="4"/>
      <c r="I27" s="4"/>
      <c r="J27" s="4"/>
      <c r="K27" s="4"/>
      <c r="L27" s="4"/>
      <c r="M27" s="4"/>
    </row>
    <row r="28" spans="1:13">
      <c r="A28" s="4">
        <f>'Системы'!A28</f>
        <v>0</v>
      </c>
      <c r="B28" s="5"/>
      <c r="C28" s="6">
        <f>'Системы'!D28</f>
        <v>0</v>
      </c>
      <c r="D28" s="6">
        <f>'Системы'!L28</f>
        <v>0</v>
      </c>
      <c r="E28" s="4"/>
      <c r="F28" s="4"/>
      <c r="G28" s="4"/>
      <c r="H28" s="4"/>
      <c r="I28" s="4"/>
      <c r="J28" s="4"/>
      <c r="K28" s="4"/>
      <c r="L28" s="4"/>
      <c r="M28" s="4"/>
    </row>
    <row r="29" spans="1:13">
      <c r="A29" s="4">
        <f>'Системы'!A29</f>
        <v>0</v>
      </c>
      <c r="B29" s="5"/>
      <c r="C29" s="6">
        <f>'Системы'!D29</f>
        <v>0</v>
      </c>
      <c r="D29" s="6">
        <f>'Системы'!L29</f>
        <v>0</v>
      </c>
      <c r="E29" s="4"/>
      <c r="F29" s="4"/>
      <c r="G29" s="4"/>
      <c r="H29" s="4"/>
      <c r="I29" s="4"/>
      <c r="J29" s="4"/>
      <c r="K29" s="4"/>
      <c r="L29" s="4"/>
      <c r="M29" s="4"/>
    </row>
    <row r="30" spans="1:13">
      <c r="A30" s="4">
        <f>'Системы'!A30</f>
        <v>0</v>
      </c>
      <c r="B30" s="5"/>
      <c r="C30" s="6">
        <f>'Системы'!D30</f>
        <v>0</v>
      </c>
      <c r="D30" s="6">
        <f>'Системы'!L30</f>
        <v>0</v>
      </c>
      <c r="E30" s="4"/>
      <c r="F30" s="4"/>
      <c r="G30" s="4"/>
      <c r="H30" s="4"/>
      <c r="I30" s="4"/>
      <c r="J30" s="4"/>
      <c r="K30" s="4"/>
      <c r="L30" s="4"/>
      <c r="M30" s="4"/>
    </row>
    <row r="31" spans="1:13">
      <c r="A31" s="4">
        <f>'Системы'!A31</f>
        <v>0</v>
      </c>
      <c r="B31" s="5"/>
      <c r="C31" s="6">
        <f>'Системы'!D31</f>
        <v>0</v>
      </c>
      <c r="D31" s="6">
        <f>'Системы'!L31</f>
        <v>0</v>
      </c>
      <c r="E31" s="4"/>
      <c r="F31" s="4"/>
      <c r="G31" s="4"/>
      <c r="H31" s="4"/>
      <c r="I31" s="4"/>
      <c r="J31" s="4"/>
      <c r="K31" s="4"/>
      <c r="L31" s="4"/>
      <c r="M31" s="4"/>
    </row>
    <row r="32" spans="1:13">
      <c r="A32" s="4">
        <f>'Системы'!A32</f>
        <v>0</v>
      </c>
      <c r="B32" s="5"/>
      <c r="C32" s="6">
        <f>'Системы'!D32</f>
        <v>0</v>
      </c>
      <c r="D32" s="6">
        <f>'Системы'!L32</f>
        <v>0</v>
      </c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s="4">
        <f>'Системы'!A33</f>
        <v>0</v>
      </c>
      <c r="B33" s="5"/>
      <c r="C33" s="6">
        <f>'Системы'!D33</f>
        <v>0</v>
      </c>
      <c r="D33" s="6">
        <f>'Системы'!L33</f>
        <v>0</v>
      </c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4">
        <f>'Системы'!A34</f>
        <v>0</v>
      </c>
      <c r="B34" s="5"/>
      <c r="C34" s="6">
        <f>'Системы'!D34</f>
        <v>0</v>
      </c>
      <c r="D34" s="6">
        <f>'Системы'!L34</f>
        <v>0</v>
      </c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4">
        <f>'Системы'!A35</f>
        <v>0</v>
      </c>
      <c r="B35" s="5"/>
      <c r="C35" s="6">
        <f>'Системы'!D35</f>
        <v>0</v>
      </c>
      <c r="D35" s="6">
        <f>'Системы'!L35</f>
        <v>0</v>
      </c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s="4">
        <f>'Системы'!A36</f>
        <v>0</v>
      </c>
      <c r="B36" s="5"/>
      <c r="C36" s="6">
        <f>'Системы'!D36</f>
        <v>0</v>
      </c>
      <c r="D36" s="6">
        <f>'Системы'!L36</f>
        <v>0</v>
      </c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>
        <f>'Системы'!A37</f>
        <v>0</v>
      </c>
      <c r="B37" s="5"/>
      <c r="C37" s="6">
        <f>'Системы'!D37</f>
        <v>0</v>
      </c>
      <c r="D37" s="6">
        <f>'Системы'!L37</f>
        <v>0</v>
      </c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>
        <f>'Системы'!A38</f>
        <v>0</v>
      </c>
      <c r="B38" s="5"/>
      <c r="C38" s="6">
        <f>'Системы'!D38</f>
        <v>0</v>
      </c>
      <c r="D38" s="6">
        <f>'Системы'!L38</f>
        <v>0</v>
      </c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>
        <f>'Системы'!A39</f>
        <v>0</v>
      </c>
      <c r="B39" s="5"/>
      <c r="C39" s="6">
        <f>'Системы'!D39</f>
        <v>0</v>
      </c>
      <c r="D39" s="6">
        <f>'Системы'!L39</f>
        <v>0</v>
      </c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>
        <f>'Системы'!A40</f>
        <v>0</v>
      </c>
      <c r="B40" s="5"/>
      <c r="C40" s="6">
        <f>'Системы'!D40</f>
        <v>0</v>
      </c>
      <c r="D40" s="6">
        <f>'Системы'!L40</f>
        <v>0</v>
      </c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>
        <f>'Системы'!A41</f>
        <v>0</v>
      </c>
      <c r="B41" s="5"/>
      <c r="C41" s="6">
        <f>'Системы'!D41</f>
        <v>0</v>
      </c>
      <c r="D41" s="6">
        <f>'Системы'!L41</f>
        <v>0</v>
      </c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>
        <f>'Системы'!A42</f>
        <v>0</v>
      </c>
      <c r="B42" s="5"/>
      <c r="C42" s="6">
        <f>'Системы'!D42</f>
        <v>0</v>
      </c>
      <c r="D42" s="6">
        <f>'Системы'!L42</f>
        <v>0</v>
      </c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>
        <f>'Системы'!A43</f>
        <v>0</v>
      </c>
      <c r="B43" s="5"/>
      <c r="C43" s="6">
        <f>'Системы'!D43</f>
        <v>0</v>
      </c>
      <c r="D43" s="6">
        <f>'Системы'!L43</f>
        <v>0</v>
      </c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>
        <f>'Системы'!A44</f>
        <v>0</v>
      </c>
      <c r="B44" s="5"/>
      <c r="C44" s="6">
        <f>'Системы'!D44</f>
        <v>0</v>
      </c>
      <c r="D44" s="6">
        <f>'Системы'!L44</f>
        <v>0</v>
      </c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>
        <f>'Системы'!A45</f>
        <v>0</v>
      </c>
      <c r="B45" s="5"/>
      <c r="C45" s="6">
        <f>'Системы'!D45</f>
        <v>0</v>
      </c>
      <c r="D45" s="6">
        <f>'Системы'!L45</f>
        <v>0</v>
      </c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>
        <f>'Системы'!A46</f>
        <v>0</v>
      </c>
      <c r="B46" s="5"/>
      <c r="C46" s="6">
        <f>'Системы'!D46</f>
        <v>0</v>
      </c>
      <c r="D46" s="6">
        <f>'Системы'!L46</f>
        <v>0</v>
      </c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>
        <f>'Системы'!A47</f>
        <v>0</v>
      </c>
      <c r="B47" s="5"/>
      <c r="C47" s="6">
        <f>'Системы'!D47</f>
        <v>0</v>
      </c>
      <c r="D47" s="6">
        <f>'Системы'!L47</f>
        <v>0</v>
      </c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>
        <f>'Системы'!A48</f>
        <v>0</v>
      </c>
      <c r="B48" s="5"/>
      <c r="C48" s="6">
        <f>'Системы'!D48</f>
        <v>0</v>
      </c>
      <c r="D48" s="6">
        <f>'Системы'!L48</f>
        <v>0</v>
      </c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>
        <f>'Системы'!A49</f>
        <v>0</v>
      </c>
      <c r="B49" s="5"/>
      <c r="C49" s="6">
        <f>'Системы'!D49</f>
        <v>0</v>
      </c>
      <c r="D49" s="6">
        <f>'Системы'!L49</f>
        <v>0</v>
      </c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>
        <f>'Системы'!A50</f>
        <v>0</v>
      </c>
      <c r="B50" s="5"/>
      <c r="C50" s="6">
        <f>'Системы'!D50</f>
        <v>0</v>
      </c>
      <c r="D50" s="6">
        <f>'Системы'!L50</f>
        <v>0</v>
      </c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>
        <f>'Системы'!A51</f>
        <v>0</v>
      </c>
      <c r="B51" s="5"/>
      <c r="C51" s="6">
        <f>'Системы'!D51</f>
        <v>0</v>
      </c>
      <c r="D51" s="6">
        <f>'Системы'!L51</f>
        <v>0</v>
      </c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4">
        <f>'Системы'!A52</f>
        <v>0</v>
      </c>
      <c r="B52" s="5"/>
      <c r="C52" s="6">
        <f>'Системы'!D52</f>
        <v>0</v>
      </c>
      <c r="D52" s="6">
        <f>'Системы'!L52</f>
        <v>0</v>
      </c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>
        <f>'Системы'!A53</f>
        <v>0</v>
      </c>
      <c r="B53" s="5"/>
      <c r="C53" s="6">
        <f>'Системы'!D53</f>
        <v>0</v>
      </c>
      <c r="D53" s="6">
        <f>'Системы'!L53</f>
        <v>0</v>
      </c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>
        <f>'Системы'!A54</f>
        <v>0</v>
      </c>
      <c r="B54" s="5"/>
      <c r="C54" s="6">
        <f>'Системы'!D54</f>
        <v>0</v>
      </c>
      <c r="D54" s="6">
        <f>'Системы'!L54</f>
        <v>0</v>
      </c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>
        <f>'Системы'!A55</f>
        <v>0</v>
      </c>
      <c r="B55" s="5"/>
      <c r="C55" s="6">
        <f>'Системы'!D55</f>
        <v>0</v>
      </c>
      <c r="D55" s="6">
        <f>'Системы'!L55</f>
        <v>0</v>
      </c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>
        <f>'Системы'!A56</f>
        <v>0</v>
      </c>
      <c r="B56" s="5"/>
      <c r="C56" s="6">
        <f>'Системы'!D56</f>
        <v>0</v>
      </c>
      <c r="D56" s="6">
        <f>'Системы'!L56</f>
        <v>0</v>
      </c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>
        <f>'Системы'!A57</f>
        <v>0</v>
      </c>
      <c r="B57" s="5"/>
      <c r="C57" s="6">
        <f>'Системы'!D57</f>
        <v>0</v>
      </c>
      <c r="D57" s="6">
        <f>'Системы'!L57</f>
        <v>0</v>
      </c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>
        <f>'Системы'!A58</f>
        <v>0</v>
      </c>
      <c r="B58" s="5"/>
      <c r="C58" s="6">
        <f>'Системы'!D58</f>
        <v>0</v>
      </c>
      <c r="D58" s="6">
        <f>'Системы'!L58</f>
        <v>0</v>
      </c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>
        <f>'Системы'!A59</f>
        <v>0</v>
      </c>
      <c r="B59" s="5"/>
      <c r="C59" s="6">
        <f>'Системы'!D59</f>
        <v>0</v>
      </c>
      <c r="D59" s="6">
        <f>'Системы'!L59</f>
        <v>0</v>
      </c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>
        <f>'Системы'!A60</f>
        <v>0</v>
      </c>
      <c r="B60" s="5"/>
      <c r="C60" s="6">
        <f>'Системы'!D60</f>
        <v>0</v>
      </c>
      <c r="D60" s="6">
        <f>'Системы'!L60</f>
        <v>0</v>
      </c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>
        <f>'Системы'!A61</f>
        <v>0</v>
      </c>
      <c r="B61" s="5"/>
      <c r="C61" s="6">
        <f>'Системы'!D61</f>
        <v>0</v>
      </c>
      <c r="D61" s="6">
        <f>'Системы'!L61</f>
        <v>0</v>
      </c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>
        <f>'Системы'!A62</f>
        <v>0</v>
      </c>
      <c r="B62" s="5"/>
      <c r="C62" s="6">
        <f>'Системы'!D62</f>
        <v>0</v>
      </c>
      <c r="D62" s="6">
        <f>'Системы'!L62</f>
        <v>0</v>
      </c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>
        <f>'Системы'!A63</f>
        <v>0</v>
      </c>
      <c r="B63" s="5"/>
      <c r="C63" s="6">
        <f>'Системы'!D63</f>
        <v>0</v>
      </c>
      <c r="D63" s="6">
        <f>'Системы'!L63</f>
        <v>0</v>
      </c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>
        <f>'Системы'!A64</f>
        <v>0</v>
      </c>
      <c r="B64" s="5"/>
      <c r="C64" s="6">
        <f>'Системы'!D64</f>
        <v>0</v>
      </c>
      <c r="D64" s="6">
        <f>'Системы'!L64</f>
        <v>0</v>
      </c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>
        <f>'Системы'!A65</f>
        <v>0</v>
      </c>
      <c r="B65" s="5"/>
      <c r="C65" s="6">
        <f>'Системы'!D65</f>
        <v>0</v>
      </c>
      <c r="D65" s="6">
        <f>'Системы'!L65</f>
        <v>0</v>
      </c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>
        <f>'Системы'!A66</f>
        <v>0</v>
      </c>
      <c r="B66" s="5"/>
      <c r="C66" s="6">
        <f>'Системы'!D66</f>
        <v>0</v>
      </c>
      <c r="D66" s="6">
        <f>'Системы'!L66</f>
        <v>0</v>
      </c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>
        <f>'Системы'!A67</f>
        <v>0</v>
      </c>
      <c r="B67" s="5"/>
      <c r="C67" s="6">
        <f>'Системы'!D67</f>
        <v>0</v>
      </c>
      <c r="D67" s="6">
        <f>'Системы'!L67</f>
        <v>0</v>
      </c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>
        <f>'Системы'!A68</f>
        <v>0</v>
      </c>
      <c r="B68" s="5"/>
      <c r="C68" s="6">
        <f>'Системы'!D68</f>
        <v>0</v>
      </c>
      <c r="D68" s="6">
        <f>'Системы'!L68</f>
        <v>0</v>
      </c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>
        <f>'Системы'!A69</f>
        <v>0</v>
      </c>
      <c r="B69" s="5"/>
      <c r="C69" s="6">
        <f>'Системы'!D69</f>
        <v>0</v>
      </c>
      <c r="D69" s="6">
        <f>'Системы'!L69</f>
        <v>0</v>
      </c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>
        <f>'Системы'!A70</f>
        <v>0</v>
      </c>
      <c r="B70" s="5"/>
      <c r="C70" s="6">
        <f>'Системы'!D70</f>
        <v>0</v>
      </c>
      <c r="D70" s="6">
        <f>'Системы'!L70</f>
        <v>0</v>
      </c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>
        <f>'Системы'!A71</f>
        <v>0</v>
      </c>
      <c r="B71" s="5"/>
      <c r="C71" s="6">
        <f>'Системы'!D71</f>
        <v>0</v>
      </c>
      <c r="D71" s="6">
        <f>'Системы'!L71</f>
        <v>0</v>
      </c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>
        <f>'Системы'!A72</f>
        <v>0</v>
      </c>
      <c r="B72" s="5"/>
      <c r="C72" s="6">
        <f>'Системы'!D72</f>
        <v>0</v>
      </c>
      <c r="D72" s="6">
        <f>'Системы'!L72</f>
        <v>0</v>
      </c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>
        <f>'Системы'!A73</f>
        <v>0</v>
      </c>
      <c r="B73" s="5"/>
      <c r="C73" s="6">
        <f>'Системы'!D73</f>
        <v>0</v>
      </c>
      <c r="D73" s="6">
        <f>'Системы'!L73</f>
        <v>0</v>
      </c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>
        <f>'Системы'!A74</f>
        <v>0</v>
      </c>
      <c r="B74" s="5"/>
      <c r="C74" s="6">
        <f>'Системы'!D74</f>
        <v>0</v>
      </c>
      <c r="D74" s="6">
        <f>'Системы'!L74</f>
        <v>0</v>
      </c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>
        <f>'Системы'!A75</f>
        <v>0</v>
      </c>
      <c r="B75" s="5"/>
      <c r="C75" s="6">
        <f>'Системы'!D75</f>
        <v>0</v>
      </c>
      <c r="D75" s="6">
        <f>'Системы'!L75</f>
        <v>0</v>
      </c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>
        <f>'Системы'!A76</f>
        <v>0</v>
      </c>
      <c r="B76" s="5"/>
      <c r="C76" s="6">
        <f>'Системы'!D76</f>
        <v>0</v>
      </c>
      <c r="D76" s="6">
        <f>'Системы'!L76</f>
        <v>0</v>
      </c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>
        <f>'Системы'!A77</f>
        <v>0</v>
      </c>
      <c r="B77" s="5"/>
      <c r="C77" s="6">
        <f>'Системы'!D77</f>
        <v>0</v>
      </c>
      <c r="D77" s="6">
        <f>'Системы'!L77</f>
        <v>0</v>
      </c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>
        <f>'Системы'!A78</f>
        <v>0</v>
      </c>
      <c r="B78" s="5"/>
      <c r="C78" s="6">
        <f>'Системы'!D78</f>
        <v>0</v>
      </c>
      <c r="D78" s="6">
        <f>'Системы'!L78</f>
        <v>0</v>
      </c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>
        <f>'Системы'!A79</f>
        <v>0</v>
      </c>
      <c r="B79" s="5"/>
      <c r="C79" s="6">
        <f>'Системы'!D79</f>
        <v>0</v>
      </c>
      <c r="D79" s="6">
        <f>'Системы'!L79</f>
        <v>0</v>
      </c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>
        <f>'Системы'!A80</f>
        <v>0</v>
      </c>
      <c r="B80" s="5"/>
      <c r="C80" s="6">
        <f>'Системы'!D80</f>
        <v>0</v>
      </c>
      <c r="D80" s="6">
        <f>'Системы'!L80</f>
        <v>0</v>
      </c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>
        <f>'Системы'!A81</f>
        <v>0</v>
      </c>
      <c r="B81" s="5"/>
      <c r="C81" s="6">
        <f>'Системы'!D81</f>
        <v>0</v>
      </c>
      <c r="D81" s="6">
        <f>'Системы'!L81</f>
        <v>0</v>
      </c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>
        <f>'Системы'!A82</f>
        <v>0</v>
      </c>
      <c r="B82" s="5"/>
      <c r="C82" s="6">
        <f>'Системы'!D82</f>
        <v>0</v>
      </c>
      <c r="D82" s="6">
        <f>'Системы'!L82</f>
        <v>0</v>
      </c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>
        <f>'Системы'!A83</f>
        <v>0</v>
      </c>
      <c r="B83" s="5"/>
      <c r="C83" s="6">
        <f>'Системы'!D83</f>
        <v>0</v>
      </c>
      <c r="D83" s="6">
        <f>'Системы'!L83</f>
        <v>0</v>
      </c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>
        <f>'Системы'!A84</f>
        <v>0</v>
      </c>
      <c r="B84" s="5"/>
      <c r="C84" s="6">
        <f>'Системы'!D84</f>
        <v>0</v>
      </c>
      <c r="D84" s="6">
        <f>'Системы'!L84</f>
        <v>0</v>
      </c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>
        <f>'Системы'!A85</f>
        <v>0</v>
      </c>
      <c r="B85" s="5"/>
      <c r="C85" s="6">
        <f>'Системы'!D85</f>
        <v>0</v>
      </c>
      <c r="D85" s="6">
        <f>'Системы'!L85</f>
        <v>0</v>
      </c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>
        <f>'Системы'!A86</f>
        <v>0</v>
      </c>
      <c r="B86" s="5"/>
      <c r="C86" s="6">
        <f>'Системы'!D86</f>
        <v>0</v>
      </c>
      <c r="D86" s="6">
        <f>'Системы'!L86</f>
        <v>0</v>
      </c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>
        <f>'Системы'!A87</f>
        <v>0</v>
      </c>
      <c r="B87" s="5"/>
      <c r="C87" s="6">
        <f>'Системы'!D87</f>
        <v>0</v>
      </c>
      <c r="D87" s="6">
        <f>'Системы'!L87</f>
        <v>0</v>
      </c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>
        <f>'Системы'!A88</f>
        <v>0</v>
      </c>
      <c r="B88" s="5"/>
      <c r="C88" s="6">
        <f>'Системы'!D88</f>
        <v>0</v>
      </c>
      <c r="D88" s="6">
        <f>'Системы'!L88</f>
        <v>0</v>
      </c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>
        <f>'Системы'!A89</f>
        <v>0</v>
      </c>
      <c r="B89" s="5"/>
      <c r="C89" s="6">
        <f>'Системы'!D89</f>
        <v>0</v>
      </c>
      <c r="D89" s="6">
        <f>'Системы'!L89</f>
        <v>0</v>
      </c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>
        <f>'Системы'!A90</f>
        <v>0</v>
      </c>
      <c r="B90" s="5"/>
      <c r="C90" s="6">
        <f>'Системы'!D90</f>
        <v>0</v>
      </c>
      <c r="D90" s="6">
        <f>'Системы'!L90</f>
        <v>0</v>
      </c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>
        <f>'Системы'!A91</f>
        <v>0</v>
      </c>
      <c r="B91" s="5"/>
      <c r="C91" s="6">
        <f>'Системы'!D91</f>
        <v>0</v>
      </c>
      <c r="D91" s="6">
        <f>'Системы'!L91</f>
        <v>0</v>
      </c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>
        <f>'Системы'!A92</f>
        <v>0</v>
      </c>
      <c r="B92" s="5"/>
      <c r="C92" s="6">
        <f>'Системы'!D92</f>
        <v>0</v>
      </c>
      <c r="D92" s="6">
        <f>'Системы'!L92</f>
        <v>0</v>
      </c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>
        <f>'Системы'!A93</f>
        <v>0</v>
      </c>
      <c r="B93" s="5"/>
      <c r="C93" s="6">
        <f>'Системы'!D93</f>
        <v>0</v>
      </c>
      <c r="D93" s="6">
        <f>'Системы'!L93</f>
        <v>0</v>
      </c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>
        <f>'Системы'!A94</f>
        <v>0</v>
      </c>
      <c r="B94" s="5"/>
      <c r="C94" s="6">
        <f>'Системы'!D94</f>
        <v>0</v>
      </c>
      <c r="D94" s="6">
        <f>'Системы'!L94</f>
        <v>0</v>
      </c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>
        <f>'Системы'!A95</f>
        <v>0</v>
      </c>
      <c r="B95" s="5"/>
      <c r="C95" s="6">
        <f>'Системы'!D95</f>
        <v>0</v>
      </c>
      <c r="D95" s="6">
        <f>'Системы'!L95</f>
        <v>0</v>
      </c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>
        <f>'Системы'!A96</f>
        <v>0</v>
      </c>
      <c r="B96" s="5"/>
      <c r="C96" s="6">
        <f>'Системы'!D96</f>
        <v>0</v>
      </c>
      <c r="D96" s="6">
        <f>'Системы'!L96</f>
        <v>0</v>
      </c>
      <c r="E96" s="4"/>
      <c r="F96" s="4"/>
      <c r="G96" s="4"/>
      <c r="H96" s="4"/>
      <c r="I96" s="4"/>
      <c r="J96" s="4"/>
      <c r="K96" s="4"/>
      <c r="L96" s="4"/>
      <c r="M96" s="4"/>
    </row>
    <row r="97" spans="1:13">
      <c r="A97" s="4">
        <f>'Системы'!A97</f>
        <v>0</v>
      </c>
      <c r="B97" s="5"/>
      <c r="C97" s="6">
        <f>'Системы'!D97</f>
        <v>0</v>
      </c>
      <c r="D97" s="6">
        <f>'Системы'!L97</f>
        <v>0</v>
      </c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>
        <f>'Системы'!A98</f>
        <v>0</v>
      </c>
      <c r="B98" s="5"/>
      <c r="C98" s="6">
        <f>'Системы'!D98</f>
        <v>0</v>
      </c>
      <c r="D98" s="6">
        <f>'Системы'!L98</f>
        <v>0</v>
      </c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4">
        <f>'Системы'!A99</f>
        <v>0</v>
      </c>
      <c r="B99" s="5"/>
      <c r="C99" s="6">
        <f>'Системы'!D99</f>
        <v>0</v>
      </c>
      <c r="D99" s="6">
        <f>'Системы'!L99</f>
        <v>0</v>
      </c>
      <c r="E99" s="4"/>
      <c r="F99" s="4"/>
      <c r="G99" s="4"/>
      <c r="H99" s="4"/>
      <c r="I99" s="4"/>
      <c r="J99" s="4"/>
      <c r="K99" s="4"/>
      <c r="L99" s="4"/>
      <c r="M99" s="4"/>
    </row>
    <row r="100" spans="1:13">
      <c r="A100" s="4">
        <f>'Системы'!A100</f>
        <v>0</v>
      </c>
      <c r="B100" s="5"/>
      <c r="C100" s="6">
        <f>'Системы'!D100</f>
        <v>0</v>
      </c>
      <c r="D100" s="6">
        <f>'Системы'!L100</f>
        <v>0</v>
      </c>
      <c r="E100" s="4"/>
      <c r="F100" s="4"/>
      <c r="G100" s="4"/>
      <c r="H100" s="4"/>
      <c r="I100" s="4"/>
      <c r="J100" s="4"/>
      <c r="K100" s="4"/>
      <c r="L100" s="4"/>
      <c r="M100" s="4"/>
    </row>
    <row r="101" spans="1:13">
      <c r="A101" s="4">
        <f>'Системы'!A101</f>
        <v>0</v>
      </c>
      <c r="B101" s="5"/>
      <c r="C101" s="6">
        <f>'Системы'!D101</f>
        <v>0</v>
      </c>
      <c r="D101" s="6">
        <f>'Системы'!L101</f>
        <v>0</v>
      </c>
      <c r="E101" s="4"/>
      <c r="F101" s="4"/>
      <c r="G101" s="4"/>
      <c r="H101" s="4"/>
      <c r="I101" s="4"/>
      <c r="J101" s="4"/>
      <c r="K101" s="4"/>
      <c r="L101" s="4"/>
      <c r="M101" s="4"/>
    </row>
    <row r="102" spans="1:13">
      <c r="A102" s="4">
        <f>'Системы'!A102</f>
        <v>0</v>
      </c>
      <c r="B102" s="5"/>
      <c r="C102" s="6">
        <f>'Системы'!D102</f>
        <v>0</v>
      </c>
      <c r="D102" s="6">
        <f>'Системы'!L102</f>
        <v>0</v>
      </c>
      <c r="E102" s="4"/>
      <c r="F102" s="4"/>
      <c r="G102" s="4"/>
      <c r="H102" s="4"/>
      <c r="I102" s="4"/>
      <c r="J102" s="4"/>
      <c r="K102" s="4"/>
      <c r="L102" s="4"/>
      <c r="M102" s="4"/>
    </row>
    <row r="103" spans="1:13">
      <c r="A103" s="4">
        <f>'Системы'!A103</f>
        <v>0</v>
      </c>
      <c r="B103" s="5"/>
      <c r="C103" s="6">
        <f>'Системы'!D103</f>
        <v>0</v>
      </c>
      <c r="D103" s="6">
        <f>'Системы'!L103</f>
        <v>0</v>
      </c>
      <c r="E103" s="4"/>
      <c r="F103" s="4"/>
      <c r="G103" s="4"/>
      <c r="H103" s="4"/>
      <c r="I103" s="4"/>
      <c r="J103" s="4"/>
      <c r="K103" s="4"/>
      <c r="L103" s="4"/>
      <c r="M103" s="4"/>
    </row>
    <row r="104" spans="1:13">
      <c r="A104" s="4">
        <f>'Системы'!A104</f>
        <v>0</v>
      </c>
      <c r="B104" s="5"/>
      <c r="C104" s="6">
        <f>'Системы'!D104</f>
        <v>0</v>
      </c>
      <c r="D104" s="6">
        <f>'Системы'!L104</f>
        <v>0</v>
      </c>
      <c r="E104" s="4"/>
      <c r="F104" s="4"/>
      <c r="G104" s="4"/>
      <c r="H104" s="4"/>
      <c r="I104" s="4"/>
      <c r="J104" s="4"/>
      <c r="K104" s="4"/>
      <c r="L104" s="4"/>
      <c r="M104" s="4"/>
    </row>
    <row r="105" spans="1:13">
      <c r="A105" s="4">
        <f>'Системы'!A105</f>
        <v>0</v>
      </c>
      <c r="B105" s="5"/>
      <c r="C105" s="6">
        <f>'Системы'!D105</f>
        <v>0</v>
      </c>
      <c r="D105" s="6">
        <f>'Системы'!L105</f>
        <v>0</v>
      </c>
      <c r="E105" s="4"/>
      <c r="F105" s="4"/>
      <c r="G105" s="4"/>
      <c r="H105" s="4"/>
      <c r="I105" s="4"/>
      <c r="J105" s="4"/>
      <c r="K105" s="4"/>
      <c r="L105" s="4"/>
      <c r="M105" s="4"/>
    </row>
    <row r="106" spans="1:13">
      <c r="A106" s="4">
        <f>'Системы'!A106</f>
        <v>0</v>
      </c>
      <c r="B106" s="5"/>
      <c r="C106" s="6">
        <f>'Системы'!D106</f>
        <v>0</v>
      </c>
      <c r="D106" s="6">
        <f>'Системы'!L106</f>
        <v>0</v>
      </c>
      <c r="E106" s="4"/>
      <c r="F106" s="4"/>
      <c r="G106" s="4"/>
      <c r="H106" s="4"/>
      <c r="I106" s="4"/>
      <c r="J106" s="4"/>
      <c r="K106" s="4"/>
      <c r="L106" s="4"/>
      <c r="M106" s="4"/>
    </row>
    <row r="107" spans="1:13">
      <c r="A107" s="4">
        <f>'Системы'!A107</f>
        <v>0</v>
      </c>
      <c r="B107" s="5"/>
      <c r="C107" s="6">
        <f>'Системы'!D107</f>
        <v>0</v>
      </c>
      <c r="D107" s="6">
        <f>'Системы'!L107</f>
        <v>0</v>
      </c>
      <c r="E107" s="4"/>
      <c r="F107" s="4"/>
      <c r="G107" s="4"/>
      <c r="H107" s="4"/>
      <c r="I107" s="4"/>
      <c r="J107" s="4"/>
      <c r="K107" s="4"/>
      <c r="L107" s="4"/>
      <c r="M107" s="4"/>
    </row>
    <row r="108" spans="1:13">
      <c r="A108" s="4">
        <f>'Системы'!A108</f>
        <v>0</v>
      </c>
      <c r="B108" s="5"/>
      <c r="C108" s="6">
        <f>'Системы'!D108</f>
        <v>0</v>
      </c>
      <c r="D108" s="6">
        <f>'Системы'!L108</f>
        <v>0</v>
      </c>
      <c r="E108" s="4"/>
      <c r="F108" s="4"/>
      <c r="G108" s="4"/>
      <c r="H108" s="4"/>
      <c r="I108" s="4"/>
      <c r="J108" s="4"/>
      <c r="K108" s="4"/>
      <c r="L108" s="4"/>
      <c r="M108" s="4"/>
    </row>
    <row r="109" spans="1:13">
      <c r="A109" s="4">
        <f>'Системы'!A109</f>
        <v>0</v>
      </c>
      <c r="B109" s="5"/>
      <c r="C109" s="6">
        <f>'Системы'!D109</f>
        <v>0</v>
      </c>
      <c r="D109" s="6">
        <f>'Системы'!L109</f>
        <v>0</v>
      </c>
      <c r="E109" s="4"/>
      <c r="F109" s="4"/>
      <c r="G109" s="4"/>
      <c r="H109" s="4"/>
      <c r="I109" s="4"/>
      <c r="J109" s="4"/>
      <c r="K109" s="4"/>
      <c r="L109" s="4"/>
      <c r="M109" s="4"/>
    </row>
    <row r="110" spans="1:13">
      <c r="A110" s="4">
        <f>'Системы'!A110</f>
        <v>0</v>
      </c>
      <c r="B110" s="5"/>
      <c r="C110" s="6">
        <f>'Системы'!D110</f>
        <v>0</v>
      </c>
      <c r="D110" s="6">
        <f>'Системы'!L110</f>
        <v>0</v>
      </c>
      <c r="E110" s="4"/>
      <c r="F110" s="4"/>
      <c r="G110" s="4"/>
      <c r="H110" s="4"/>
      <c r="I110" s="4"/>
      <c r="J110" s="4"/>
      <c r="K110" s="4"/>
      <c r="L110" s="4"/>
      <c r="M110" s="4"/>
    </row>
    <row r="111" spans="1:13">
      <c r="A111" s="4">
        <f>'Системы'!A111</f>
        <v>0</v>
      </c>
      <c r="B111" s="5"/>
      <c r="C111" s="6">
        <f>'Системы'!D111</f>
        <v>0</v>
      </c>
      <c r="D111" s="6">
        <f>'Системы'!L111</f>
        <v>0</v>
      </c>
      <c r="E111" s="4"/>
      <c r="F111" s="4"/>
      <c r="G111" s="4"/>
      <c r="H111" s="4"/>
      <c r="I111" s="4"/>
      <c r="J111" s="4"/>
      <c r="K111" s="4"/>
      <c r="L111" s="4"/>
      <c r="M111" s="4"/>
    </row>
    <row r="112" spans="1:13">
      <c r="A112" s="4">
        <f>'Системы'!A112</f>
        <v>0</v>
      </c>
      <c r="B112" s="5"/>
      <c r="C112" s="6">
        <f>'Системы'!D112</f>
        <v>0</v>
      </c>
      <c r="D112" s="6">
        <f>'Системы'!L112</f>
        <v>0</v>
      </c>
      <c r="E112" s="4"/>
      <c r="F112" s="4"/>
      <c r="G112" s="4"/>
      <c r="H112" s="4"/>
      <c r="I112" s="4"/>
      <c r="J112" s="4"/>
      <c r="K112" s="4"/>
      <c r="L112" s="4"/>
      <c r="M112" s="4"/>
    </row>
    <row r="113" spans="1:13">
      <c r="A113" s="4">
        <f>'Системы'!A113</f>
        <v>0</v>
      </c>
      <c r="B113" s="5"/>
      <c r="C113" s="6">
        <f>'Системы'!D113</f>
        <v>0</v>
      </c>
      <c r="D113" s="6">
        <f>'Системы'!L113</f>
        <v>0</v>
      </c>
      <c r="E113" s="4"/>
      <c r="F113" s="4"/>
      <c r="G113" s="4"/>
      <c r="H113" s="4"/>
      <c r="I113" s="4"/>
      <c r="J113" s="4"/>
      <c r="K113" s="4"/>
      <c r="L113" s="4"/>
      <c r="M113" s="4"/>
    </row>
    <row r="114" spans="1:13">
      <c r="A114" s="4">
        <f>'Системы'!A114</f>
        <v>0</v>
      </c>
      <c r="B114" s="5"/>
      <c r="C114" s="6">
        <f>'Системы'!D114</f>
        <v>0</v>
      </c>
      <c r="D114" s="6">
        <f>'Системы'!L114</f>
        <v>0</v>
      </c>
      <c r="E114" s="4"/>
      <c r="F114" s="4"/>
      <c r="G114" s="4"/>
      <c r="H114" s="4"/>
      <c r="I114" s="4"/>
      <c r="J114" s="4"/>
      <c r="K114" s="4"/>
      <c r="L114" s="4"/>
      <c r="M114" s="4"/>
    </row>
    <row r="115" spans="1:13">
      <c r="A115" s="4">
        <f>'Системы'!A115</f>
        <v>0</v>
      </c>
      <c r="B115" s="5"/>
      <c r="C115" s="6">
        <f>'Системы'!D115</f>
        <v>0</v>
      </c>
      <c r="D115" s="6">
        <f>'Системы'!L115</f>
        <v>0</v>
      </c>
      <c r="E115" s="4"/>
      <c r="F115" s="4"/>
      <c r="G115" s="4"/>
      <c r="H115" s="4"/>
      <c r="I115" s="4"/>
      <c r="J115" s="4"/>
      <c r="K115" s="4"/>
      <c r="L115" s="4"/>
      <c r="M115" s="4"/>
    </row>
    <row r="116" spans="1:13">
      <c r="A116" s="4">
        <f>'Системы'!A116</f>
        <v>0</v>
      </c>
      <c r="B116" s="5"/>
      <c r="C116" s="6">
        <f>'Системы'!D116</f>
        <v>0</v>
      </c>
      <c r="D116" s="6">
        <f>'Системы'!L116</f>
        <v>0</v>
      </c>
      <c r="E116" s="4"/>
      <c r="F116" s="4"/>
      <c r="G116" s="4"/>
      <c r="H116" s="4"/>
      <c r="I116" s="4"/>
      <c r="J116" s="4"/>
      <c r="K116" s="4"/>
      <c r="L116" s="4"/>
      <c r="M116" s="4"/>
    </row>
    <row r="117" spans="1:13">
      <c r="A117" s="4">
        <f>'Системы'!A117</f>
        <v>0</v>
      </c>
      <c r="B117" s="5"/>
      <c r="C117" s="6">
        <f>'Системы'!D117</f>
        <v>0</v>
      </c>
      <c r="D117" s="6">
        <f>'Системы'!L117</f>
        <v>0</v>
      </c>
      <c r="E117" s="4"/>
      <c r="F117" s="4"/>
      <c r="G117" s="4"/>
      <c r="H117" s="4"/>
      <c r="I117" s="4"/>
      <c r="J117" s="4"/>
      <c r="K117" s="4"/>
      <c r="L117" s="4"/>
      <c r="M117" s="4"/>
    </row>
    <row r="118" spans="1:13">
      <c r="A118" s="4">
        <f>'Системы'!A118</f>
        <v>0</v>
      </c>
      <c r="B118" s="5"/>
      <c r="C118" s="6">
        <f>'Системы'!D118</f>
        <v>0</v>
      </c>
      <c r="D118" s="6">
        <f>'Системы'!L118</f>
        <v>0</v>
      </c>
      <c r="E118" s="4"/>
      <c r="F118" s="4"/>
      <c r="G118" s="4"/>
      <c r="H118" s="4"/>
      <c r="I118" s="4"/>
      <c r="J118" s="4"/>
      <c r="K118" s="4"/>
      <c r="L118" s="4"/>
      <c r="M118" s="4"/>
    </row>
    <row r="119" spans="1:13">
      <c r="A119" s="4">
        <f>'Системы'!A119</f>
        <v>0</v>
      </c>
      <c r="B119" s="5"/>
      <c r="C119" s="6">
        <f>'Системы'!D119</f>
        <v>0</v>
      </c>
      <c r="D119" s="6">
        <f>'Системы'!L119</f>
        <v>0</v>
      </c>
      <c r="E119" s="4"/>
      <c r="F119" s="4"/>
      <c r="G119" s="4"/>
      <c r="H119" s="4"/>
      <c r="I119" s="4"/>
      <c r="J119" s="4"/>
      <c r="K119" s="4"/>
      <c r="L119" s="4"/>
      <c r="M119" s="4"/>
    </row>
    <row r="120" spans="1:13">
      <c r="A120" s="4">
        <f>'Системы'!A120</f>
        <v>0</v>
      </c>
      <c r="B120" s="5"/>
      <c r="C120" s="6">
        <f>'Системы'!D120</f>
        <v>0</v>
      </c>
      <c r="D120" s="6">
        <f>'Системы'!L120</f>
        <v>0</v>
      </c>
      <c r="E120" s="4"/>
      <c r="F120" s="4"/>
      <c r="G120" s="4"/>
      <c r="H120" s="4"/>
      <c r="I120" s="4"/>
      <c r="J120" s="4"/>
      <c r="K120" s="4"/>
      <c r="L120" s="4"/>
      <c r="M120" s="4"/>
    </row>
    <row r="121" spans="1:13">
      <c r="A121" s="4">
        <f>'Системы'!A121</f>
        <v>0</v>
      </c>
      <c r="B121" s="5"/>
      <c r="C121" s="6">
        <f>'Системы'!D121</f>
        <v>0</v>
      </c>
      <c r="D121" s="6">
        <f>'Системы'!L121</f>
        <v>0</v>
      </c>
      <c r="E121" s="4"/>
      <c r="F121" s="4"/>
      <c r="G121" s="4"/>
      <c r="H121" s="4"/>
      <c r="I121" s="4"/>
      <c r="J121" s="4"/>
      <c r="K121" s="4"/>
      <c r="L121" s="4"/>
      <c r="M121" s="4"/>
    </row>
    <row r="122" spans="1:13">
      <c r="A122" s="4">
        <f>'Системы'!A122</f>
        <v>0</v>
      </c>
      <c r="B122" s="5"/>
      <c r="C122" s="6">
        <f>'Системы'!D122</f>
        <v>0</v>
      </c>
      <c r="D122" s="6">
        <f>'Системы'!L122</f>
        <v>0</v>
      </c>
      <c r="E122" s="4"/>
      <c r="F122" s="4"/>
      <c r="G122" s="4"/>
      <c r="H122" s="4"/>
      <c r="I122" s="4"/>
      <c r="J122" s="4"/>
      <c r="K122" s="4"/>
      <c r="L122" s="4"/>
      <c r="M122" s="4"/>
    </row>
    <row r="123" spans="1:13">
      <c r="A123" s="4">
        <f>'Системы'!A123</f>
        <v>0</v>
      </c>
      <c r="B123" s="5"/>
      <c r="C123" s="6">
        <f>'Системы'!D123</f>
        <v>0</v>
      </c>
      <c r="D123" s="6">
        <f>'Системы'!L123</f>
        <v>0</v>
      </c>
      <c r="E123" s="4"/>
      <c r="F123" s="4"/>
      <c r="G123" s="4"/>
      <c r="H123" s="4"/>
      <c r="I123" s="4"/>
      <c r="J123" s="4"/>
      <c r="K123" s="4"/>
      <c r="L123" s="4"/>
      <c r="M123" s="4"/>
    </row>
    <row r="124" spans="1:13">
      <c r="A124" s="4">
        <f>'Системы'!A124</f>
        <v>0</v>
      </c>
      <c r="B124" s="5"/>
      <c r="C124" s="6">
        <f>'Системы'!D124</f>
        <v>0</v>
      </c>
      <c r="D124" s="6">
        <f>'Системы'!L124</f>
        <v>0</v>
      </c>
      <c r="E124" s="4"/>
      <c r="F124" s="4"/>
      <c r="G124" s="4"/>
      <c r="H124" s="4"/>
      <c r="I124" s="4"/>
      <c r="J124" s="4"/>
      <c r="K124" s="4"/>
      <c r="L124" s="4"/>
      <c r="M124" s="4"/>
    </row>
    <row r="125" spans="1:13">
      <c r="A125" s="4">
        <f>'Системы'!A125</f>
        <v>0</v>
      </c>
      <c r="B125" s="5"/>
      <c r="C125" s="6">
        <f>'Системы'!D125</f>
        <v>0</v>
      </c>
      <c r="D125" s="6">
        <f>'Системы'!L125</f>
        <v>0</v>
      </c>
      <c r="E125" s="4"/>
      <c r="F125" s="4"/>
      <c r="G125" s="4"/>
      <c r="H125" s="4"/>
      <c r="I125" s="4"/>
      <c r="J125" s="4"/>
      <c r="K125" s="4"/>
      <c r="L125" s="4"/>
      <c r="M125" s="4"/>
    </row>
    <row r="126" spans="1:13">
      <c r="A126" s="4">
        <f>'Системы'!A126</f>
        <v>0</v>
      </c>
      <c r="B126" s="5"/>
      <c r="C126" s="6">
        <f>'Системы'!D126</f>
        <v>0</v>
      </c>
      <c r="D126" s="6">
        <f>'Системы'!L126</f>
        <v>0</v>
      </c>
      <c r="E126" s="4"/>
      <c r="F126" s="4"/>
      <c r="G126" s="4"/>
      <c r="H126" s="4"/>
      <c r="I126" s="4"/>
      <c r="J126" s="4"/>
      <c r="K126" s="4"/>
      <c r="L126" s="4"/>
      <c r="M126" s="4"/>
    </row>
    <row r="127" spans="1:13">
      <c r="A127" s="4">
        <f>'Системы'!A127</f>
        <v>0</v>
      </c>
      <c r="B127" s="5"/>
      <c r="C127" s="6">
        <f>'Системы'!D127</f>
        <v>0</v>
      </c>
      <c r="D127" s="6">
        <f>'Системы'!L127</f>
        <v>0</v>
      </c>
      <c r="E127" s="4"/>
      <c r="F127" s="4"/>
      <c r="G127" s="4"/>
      <c r="H127" s="4"/>
      <c r="I127" s="4"/>
      <c r="J127" s="4"/>
      <c r="K127" s="4"/>
      <c r="L127" s="4"/>
      <c r="M127" s="4"/>
    </row>
    <row r="128" spans="1:13">
      <c r="A128" s="4">
        <f>'Системы'!A128</f>
        <v>0</v>
      </c>
      <c r="B128" s="5"/>
      <c r="C128" s="6">
        <f>'Системы'!D128</f>
        <v>0</v>
      </c>
      <c r="D128" s="6">
        <f>'Системы'!L128</f>
        <v>0</v>
      </c>
      <c r="E128" s="4"/>
      <c r="F128" s="4"/>
      <c r="G128" s="4"/>
      <c r="H128" s="4"/>
      <c r="I128" s="4"/>
      <c r="J128" s="4"/>
      <c r="K128" s="4"/>
      <c r="L128" s="4"/>
      <c r="M128" s="4"/>
    </row>
    <row r="129" spans="1:13">
      <c r="A129" s="4">
        <f>'Системы'!A129</f>
        <v>0</v>
      </c>
      <c r="B129" s="5"/>
      <c r="C129" s="6">
        <f>'Системы'!D129</f>
        <v>0</v>
      </c>
      <c r="D129" s="6">
        <f>'Системы'!L129</f>
        <v>0</v>
      </c>
      <c r="E129" s="4"/>
      <c r="F129" s="4"/>
      <c r="G129" s="4"/>
      <c r="H129" s="4"/>
      <c r="I129" s="4"/>
      <c r="J129" s="4"/>
      <c r="K129" s="4"/>
      <c r="L129" s="4"/>
      <c r="M129" s="4"/>
    </row>
    <row r="130" spans="1:13">
      <c r="A130" s="4">
        <f>'Системы'!A130</f>
        <v>0</v>
      </c>
      <c r="B130" s="5"/>
      <c r="C130" s="6">
        <f>'Системы'!D130</f>
        <v>0</v>
      </c>
      <c r="D130" s="6">
        <f>'Системы'!L130</f>
        <v>0</v>
      </c>
      <c r="E130" s="4"/>
      <c r="F130" s="4"/>
      <c r="G130" s="4"/>
      <c r="H130" s="4"/>
      <c r="I130" s="4"/>
      <c r="J130" s="4"/>
      <c r="K130" s="4"/>
      <c r="L130" s="4"/>
      <c r="M130" s="4"/>
    </row>
    <row r="131" spans="1:13">
      <c r="A131" s="4">
        <f>'Системы'!A131</f>
        <v>0</v>
      </c>
      <c r="B131" s="5"/>
      <c r="C131" s="6">
        <f>'Системы'!D131</f>
        <v>0</v>
      </c>
      <c r="D131" s="6">
        <f>'Системы'!L131</f>
        <v>0</v>
      </c>
      <c r="E131" s="4"/>
      <c r="F131" s="4"/>
      <c r="G131" s="4"/>
      <c r="H131" s="4"/>
      <c r="I131" s="4"/>
      <c r="J131" s="4"/>
      <c r="K131" s="4"/>
      <c r="L131" s="4"/>
      <c r="M131" s="4"/>
    </row>
    <row r="132" spans="1:13">
      <c r="A132" s="4">
        <f>'Системы'!A132</f>
        <v>0</v>
      </c>
      <c r="B132" s="5"/>
      <c r="C132" s="6">
        <f>'Системы'!D132</f>
        <v>0</v>
      </c>
      <c r="D132" s="6">
        <f>'Системы'!L132</f>
        <v>0</v>
      </c>
      <c r="E132" s="4"/>
      <c r="F132" s="4"/>
      <c r="G132" s="4"/>
      <c r="H132" s="4"/>
      <c r="I132" s="4"/>
      <c r="J132" s="4"/>
      <c r="K132" s="4"/>
      <c r="L132" s="4"/>
      <c r="M132" s="4"/>
    </row>
    <row r="133" spans="1:13">
      <c r="A133" s="4">
        <f>'Системы'!A133</f>
        <v>0</v>
      </c>
      <c r="B133" s="5"/>
      <c r="C133" s="6">
        <f>'Системы'!D133</f>
        <v>0</v>
      </c>
      <c r="D133" s="6">
        <f>'Системы'!L133</f>
        <v>0</v>
      </c>
      <c r="E133" s="4"/>
      <c r="F133" s="4"/>
      <c r="G133" s="4"/>
      <c r="H133" s="4"/>
      <c r="I133" s="4"/>
      <c r="J133" s="4"/>
      <c r="K133" s="4"/>
      <c r="L133" s="4"/>
      <c r="M133" s="4"/>
    </row>
    <row r="134" spans="1:13">
      <c r="A134" s="4">
        <f>'Системы'!A134</f>
        <v>0</v>
      </c>
      <c r="B134" s="5"/>
      <c r="C134" s="6">
        <f>'Системы'!D134</f>
        <v>0</v>
      </c>
      <c r="D134" s="6">
        <f>'Системы'!L134</f>
        <v>0</v>
      </c>
      <c r="E134" s="4"/>
      <c r="F134" s="4"/>
      <c r="G134" s="4"/>
      <c r="H134" s="4"/>
      <c r="I134" s="4"/>
      <c r="J134" s="4"/>
      <c r="K134" s="4"/>
      <c r="L134" s="4"/>
      <c r="M134" s="4"/>
    </row>
    <row r="135" spans="1:13">
      <c r="A135" s="4">
        <f>'Системы'!A135</f>
        <v>0</v>
      </c>
      <c r="B135" s="5"/>
      <c r="C135" s="6">
        <f>'Системы'!D135</f>
        <v>0</v>
      </c>
      <c r="D135" s="6">
        <f>'Системы'!L135</f>
        <v>0</v>
      </c>
      <c r="E135" s="4"/>
      <c r="F135" s="4"/>
      <c r="G135" s="4"/>
      <c r="H135" s="4"/>
      <c r="I135" s="4"/>
      <c r="J135" s="4"/>
      <c r="K135" s="4"/>
      <c r="L135" s="4"/>
      <c r="M135" s="4"/>
    </row>
    <row r="136" spans="1:13">
      <c r="A136" s="4">
        <f>'Системы'!A136</f>
        <v>0</v>
      </c>
      <c r="B136" s="5"/>
      <c r="C136" s="6">
        <f>'Системы'!D136</f>
        <v>0</v>
      </c>
      <c r="D136" s="6">
        <f>'Системы'!L136</f>
        <v>0</v>
      </c>
      <c r="E136" s="4"/>
      <c r="F136" s="4"/>
      <c r="G136" s="4"/>
      <c r="H136" s="4"/>
      <c r="I136" s="4"/>
      <c r="J136" s="4"/>
      <c r="K136" s="4"/>
      <c r="L136" s="4"/>
      <c r="M136" s="4"/>
    </row>
    <row r="137" spans="1:13">
      <c r="A137" s="4">
        <f>'Системы'!A137</f>
        <v>0</v>
      </c>
      <c r="B137" s="5"/>
      <c r="C137" s="6">
        <f>'Системы'!D137</f>
        <v>0</v>
      </c>
      <c r="D137" s="6">
        <f>'Системы'!L137</f>
        <v>0</v>
      </c>
      <c r="E137" s="4"/>
      <c r="F137" s="4"/>
      <c r="G137" s="4"/>
      <c r="H137" s="4"/>
      <c r="I137" s="4"/>
      <c r="J137" s="4"/>
      <c r="K137" s="4"/>
      <c r="L137" s="4"/>
      <c r="M137" s="4"/>
    </row>
    <row r="138" spans="1:13">
      <c r="A138" s="4">
        <f>'Системы'!A138</f>
        <v>0</v>
      </c>
      <c r="B138" s="5"/>
      <c r="C138" s="6">
        <f>'Системы'!D138</f>
        <v>0</v>
      </c>
      <c r="D138" s="6">
        <f>'Системы'!L138</f>
        <v>0</v>
      </c>
      <c r="E138" s="4"/>
      <c r="F138" s="4"/>
      <c r="G138" s="4"/>
      <c r="H138" s="4"/>
      <c r="I138" s="4"/>
      <c r="J138" s="4"/>
      <c r="K138" s="4"/>
      <c r="L138" s="4"/>
      <c r="M138" s="4"/>
    </row>
    <row r="139" spans="1:13">
      <c r="A139" s="4">
        <f>'Системы'!A139</f>
        <v>0</v>
      </c>
      <c r="B139" s="5"/>
      <c r="C139" s="6">
        <f>'Системы'!D139</f>
        <v>0</v>
      </c>
      <c r="D139" s="6">
        <f>'Системы'!L139</f>
        <v>0</v>
      </c>
      <c r="E139" s="4"/>
      <c r="F139" s="4"/>
      <c r="G139" s="4"/>
      <c r="H139" s="4"/>
      <c r="I139" s="4"/>
      <c r="J139" s="4"/>
      <c r="K139" s="4"/>
      <c r="L139" s="4"/>
      <c r="M139" s="4"/>
    </row>
    <row r="140" spans="1:13">
      <c r="A140" s="4">
        <f>'Системы'!A140</f>
        <v>0</v>
      </c>
      <c r="B140" s="5"/>
      <c r="C140" s="6">
        <f>'Системы'!D140</f>
        <v>0</v>
      </c>
      <c r="D140" s="6">
        <f>'Системы'!L140</f>
        <v>0</v>
      </c>
      <c r="E140" s="4"/>
      <c r="F140" s="4"/>
      <c r="G140" s="4"/>
      <c r="H140" s="4"/>
      <c r="I140" s="4"/>
      <c r="J140" s="4"/>
      <c r="K140" s="4"/>
      <c r="L140" s="4"/>
      <c r="M140" s="4"/>
    </row>
    <row r="141" spans="1:13">
      <c r="A141" s="4">
        <f>'Системы'!A141</f>
        <v>0</v>
      </c>
      <c r="B141" s="5"/>
      <c r="C141" s="6">
        <f>'Системы'!D141</f>
        <v>0</v>
      </c>
      <c r="D141" s="6">
        <f>'Системы'!L141</f>
        <v>0</v>
      </c>
      <c r="E141" s="4"/>
      <c r="F141" s="4"/>
      <c r="G141" s="4"/>
      <c r="H141" s="4"/>
      <c r="I141" s="4"/>
      <c r="J141" s="4"/>
      <c r="K141" s="4"/>
      <c r="L141" s="4"/>
      <c r="M141" s="4"/>
    </row>
    <row r="142" spans="1:13">
      <c r="A142" s="4">
        <f>'Системы'!A142</f>
        <v>0</v>
      </c>
      <c r="B142" s="5"/>
      <c r="C142" s="6">
        <f>'Системы'!D142</f>
        <v>0</v>
      </c>
      <c r="D142" s="6">
        <f>'Системы'!L142</f>
        <v>0</v>
      </c>
      <c r="E142" s="4"/>
      <c r="F142" s="4"/>
      <c r="G142" s="4"/>
      <c r="H142" s="4"/>
      <c r="I142" s="4"/>
      <c r="J142" s="4"/>
      <c r="K142" s="4"/>
      <c r="L142" s="4"/>
      <c r="M142" s="4"/>
    </row>
    <row r="143" spans="1:13">
      <c r="A143" s="4">
        <f>'Системы'!A143</f>
        <v>0</v>
      </c>
      <c r="B143" s="5"/>
      <c r="C143" s="6">
        <f>'Системы'!D143</f>
        <v>0</v>
      </c>
      <c r="D143" s="6">
        <f>'Системы'!L143</f>
        <v>0</v>
      </c>
      <c r="E143" s="4"/>
      <c r="F143" s="4"/>
      <c r="G143" s="4"/>
      <c r="H143" s="4"/>
      <c r="I143" s="4"/>
      <c r="J143" s="4"/>
      <c r="K143" s="4"/>
      <c r="L143" s="4"/>
      <c r="M143" s="4"/>
    </row>
    <row r="144" spans="1:13">
      <c r="A144" s="4">
        <f>'Системы'!A144</f>
        <v>0</v>
      </c>
      <c r="B144" s="5"/>
      <c r="C144" s="6">
        <f>'Системы'!D144</f>
        <v>0</v>
      </c>
      <c r="D144" s="6">
        <f>'Системы'!L144</f>
        <v>0</v>
      </c>
      <c r="E144" s="4"/>
      <c r="F144" s="4"/>
      <c r="G144" s="4"/>
      <c r="H144" s="4"/>
      <c r="I144" s="4"/>
      <c r="J144" s="4"/>
      <c r="K144" s="4"/>
      <c r="L144" s="4"/>
      <c r="M144" s="4"/>
    </row>
    <row r="145" spans="1:13">
      <c r="A145" s="4">
        <f>'Системы'!A145</f>
        <v>0</v>
      </c>
      <c r="B145" s="5"/>
      <c r="C145" s="6">
        <f>'Системы'!D145</f>
        <v>0</v>
      </c>
      <c r="D145" s="6">
        <f>'Системы'!L145</f>
        <v>0</v>
      </c>
      <c r="E145" s="4"/>
      <c r="F145" s="4"/>
      <c r="G145" s="4"/>
      <c r="H145" s="4"/>
      <c r="I145" s="4"/>
      <c r="J145" s="4"/>
      <c r="K145" s="4"/>
      <c r="L145" s="4"/>
      <c r="M145" s="4"/>
    </row>
    <row r="146" spans="1:13">
      <c r="A146" s="4">
        <f>'Системы'!A146</f>
        <v>0</v>
      </c>
      <c r="B146" s="5"/>
      <c r="C146" s="6">
        <f>'Системы'!D146</f>
        <v>0</v>
      </c>
      <c r="D146" s="6">
        <f>'Системы'!L146</f>
        <v>0</v>
      </c>
      <c r="E146" s="4"/>
      <c r="F146" s="4"/>
      <c r="G146" s="4"/>
      <c r="H146" s="4"/>
      <c r="I146" s="4"/>
      <c r="J146" s="4"/>
      <c r="K146" s="4"/>
      <c r="L146" s="4"/>
      <c r="M146" s="4"/>
    </row>
    <row r="147" spans="1:13">
      <c r="A147" s="4">
        <f>'Системы'!A147</f>
        <v>0</v>
      </c>
      <c r="B147" s="5"/>
      <c r="C147" s="6">
        <f>'Системы'!D147</f>
        <v>0</v>
      </c>
      <c r="D147" s="6">
        <f>'Системы'!L147</f>
        <v>0</v>
      </c>
      <c r="E147" s="4"/>
      <c r="F147" s="4"/>
      <c r="G147" s="4"/>
      <c r="H147" s="4"/>
      <c r="I147" s="4"/>
      <c r="J147" s="4"/>
      <c r="K147" s="4"/>
      <c r="L147" s="4"/>
      <c r="M147" s="4"/>
    </row>
    <row r="148" spans="1:13">
      <c r="A148" s="4">
        <f>'Системы'!A148</f>
        <v>0</v>
      </c>
      <c r="B148" s="5"/>
      <c r="C148" s="6">
        <f>'Системы'!D148</f>
        <v>0</v>
      </c>
      <c r="D148" s="6">
        <f>'Системы'!L148</f>
        <v>0</v>
      </c>
      <c r="E148" s="4"/>
      <c r="F148" s="4"/>
      <c r="G148" s="4"/>
      <c r="H148" s="4"/>
      <c r="I148" s="4"/>
      <c r="J148" s="4"/>
      <c r="K148" s="4"/>
      <c r="L148" s="4"/>
      <c r="M148" s="4"/>
    </row>
    <row r="149" spans="1:13">
      <c r="A149" s="4">
        <f>'Системы'!A149</f>
        <v>0</v>
      </c>
      <c r="B149" s="5"/>
      <c r="C149" s="6">
        <f>'Системы'!D149</f>
        <v>0</v>
      </c>
      <c r="D149" s="6">
        <f>'Системы'!L149</f>
        <v>0</v>
      </c>
      <c r="E149" s="4"/>
      <c r="F149" s="4"/>
      <c r="G149" s="4"/>
      <c r="H149" s="4"/>
      <c r="I149" s="4"/>
      <c r="J149" s="4"/>
      <c r="K149" s="4"/>
      <c r="L149" s="4"/>
      <c r="M149" s="4"/>
    </row>
    <row r="150" spans="1:13">
      <c r="A150" s="4">
        <f>'Системы'!A150</f>
        <v>0</v>
      </c>
      <c r="B150" s="5"/>
      <c r="C150" s="6">
        <f>'Системы'!D150</f>
        <v>0</v>
      </c>
      <c r="D150" s="6">
        <f>'Системы'!L150</f>
        <v>0</v>
      </c>
      <c r="E150" s="4"/>
      <c r="F150" s="4"/>
      <c r="G150" s="4"/>
      <c r="H150" s="4"/>
      <c r="I150" s="4"/>
      <c r="J150" s="4"/>
      <c r="K150" s="4"/>
      <c r="L150" s="4"/>
      <c r="M150" s="4"/>
    </row>
    <row r="151" spans="1:13">
      <c r="A151" s="4">
        <f>'Системы'!A151</f>
        <v>0</v>
      </c>
      <c r="B151" s="5"/>
      <c r="C151" s="6">
        <f>'Системы'!D151</f>
        <v>0</v>
      </c>
      <c r="D151" s="6">
        <f>'Системы'!L151</f>
        <v>0</v>
      </c>
      <c r="E151" s="4"/>
      <c r="F151" s="4"/>
      <c r="G151" s="4"/>
      <c r="H151" s="4"/>
      <c r="I151" s="4"/>
      <c r="J151" s="4"/>
      <c r="K151" s="4"/>
      <c r="L151" s="4"/>
      <c r="M151" s="4"/>
    </row>
    <row r="152" spans="1:13">
      <c r="A152" s="4">
        <f>'Системы'!A152</f>
        <v>0</v>
      </c>
      <c r="B152" s="5"/>
      <c r="C152" s="6">
        <f>'Системы'!D152</f>
        <v>0</v>
      </c>
      <c r="D152" s="6">
        <f>'Системы'!L152</f>
        <v>0</v>
      </c>
      <c r="E152" s="4"/>
      <c r="F152" s="4"/>
      <c r="G152" s="4"/>
      <c r="H152" s="4"/>
      <c r="I152" s="4"/>
      <c r="J152" s="4"/>
      <c r="K152" s="4"/>
      <c r="L152" s="4"/>
      <c r="M152" s="4"/>
    </row>
    <row r="153" spans="1:13">
      <c r="A153" s="4">
        <f>'Системы'!A153</f>
        <v>0</v>
      </c>
      <c r="B153" s="5"/>
      <c r="C153" s="6">
        <f>'Системы'!D153</f>
        <v>0</v>
      </c>
      <c r="D153" s="6">
        <f>'Системы'!L153</f>
        <v>0</v>
      </c>
      <c r="E153" s="4"/>
      <c r="F153" s="4"/>
      <c r="G153" s="4"/>
      <c r="H153" s="4"/>
      <c r="I153" s="4"/>
      <c r="J153" s="4"/>
      <c r="K153" s="4"/>
      <c r="L153" s="4"/>
      <c r="M153" s="4"/>
    </row>
    <row r="154" spans="1:13">
      <c r="A154" s="4">
        <f>'Системы'!A154</f>
        <v>0</v>
      </c>
      <c r="B154" s="5"/>
      <c r="C154" s="6">
        <f>'Системы'!D154</f>
        <v>0</v>
      </c>
      <c r="D154" s="6">
        <f>'Системы'!L154</f>
        <v>0</v>
      </c>
      <c r="E154" s="4"/>
      <c r="F154" s="4"/>
      <c r="G154" s="4"/>
      <c r="H154" s="4"/>
      <c r="I154" s="4"/>
      <c r="J154" s="4"/>
      <c r="K154" s="4"/>
      <c r="L154" s="4"/>
      <c r="M154" s="4"/>
    </row>
    <row r="155" spans="1:13">
      <c r="A155" s="4">
        <f>'Системы'!A155</f>
        <v>0</v>
      </c>
      <c r="B155" s="5"/>
      <c r="C155" s="6">
        <f>'Системы'!D155</f>
        <v>0</v>
      </c>
      <c r="D155" s="6">
        <f>'Системы'!L155</f>
        <v>0</v>
      </c>
      <c r="E155" s="4"/>
      <c r="F155" s="4"/>
      <c r="G155" s="4"/>
      <c r="H155" s="4"/>
      <c r="I155" s="4"/>
      <c r="J155" s="4"/>
      <c r="K155" s="4"/>
      <c r="L155" s="4"/>
      <c r="M155" s="4"/>
    </row>
    <row r="156" spans="1:13">
      <c r="A156" s="4">
        <f>'Системы'!A156</f>
        <v>0</v>
      </c>
      <c r="B156" s="5"/>
      <c r="C156" s="6">
        <f>'Системы'!D156</f>
        <v>0</v>
      </c>
      <c r="D156" s="6">
        <f>'Системы'!L156</f>
        <v>0</v>
      </c>
      <c r="E156" s="4"/>
      <c r="F156" s="4"/>
      <c r="G156" s="4"/>
      <c r="H156" s="4"/>
      <c r="I156" s="4"/>
      <c r="J156" s="4"/>
      <c r="K156" s="4"/>
      <c r="L156" s="4"/>
      <c r="M156" s="4"/>
    </row>
    <row r="157" spans="1:13">
      <c r="A157" s="4">
        <f>'Системы'!A157</f>
        <v>0</v>
      </c>
      <c r="B157" s="5"/>
      <c r="C157" s="6">
        <f>'Системы'!D157</f>
        <v>0</v>
      </c>
      <c r="D157" s="6">
        <f>'Системы'!L157</f>
        <v>0</v>
      </c>
      <c r="E157" s="4"/>
      <c r="F157" s="4"/>
      <c r="G157" s="4"/>
      <c r="H157" s="4"/>
      <c r="I157" s="4"/>
      <c r="J157" s="4"/>
      <c r="K157" s="4"/>
      <c r="L157" s="4"/>
      <c r="M157" s="4"/>
    </row>
    <row r="158" spans="1:13">
      <c r="A158" s="4">
        <f>'Системы'!A158</f>
        <v>0</v>
      </c>
      <c r="B158" s="5"/>
      <c r="C158" s="6">
        <f>'Системы'!D158</f>
        <v>0</v>
      </c>
      <c r="D158" s="6">
        <f>'Системы'!L158</f>
        <v>0</v>
      </c>
      <c r="E158" s="4"/>
      <c r="F158" s="4"/>
      <c r="G158" s="4"/>
      <c r="H158" s="4"/>
      <c r="I158" s="4"/>
      <c r="J158" s="4"/>
      <c r="K158" s="4"/>
      <c r="L158" s="4"/>
      <c r="M158" s="4"/>
    </row>
    <row r="159" spans="1:13">
      <c r="A159" s="4">
        <f>'Системы'!A159</f>
        <v>0</v>
      </c>
      <c r="B159" s="5"/>
      <c r="C159" s="6">
        <f>'Системы'!D159</f>
        <v>0</v>
      </c>
      <c r="D159" s="6">
        <f>'Системы'!L159</f>
        <v>0</v>
      </c>
      <c r="E159" s="4"/>
      <c r="F159" s="4"/>
      <c r="G159" s="4"/>
      <c r="H159" s="4"/>
      <c r="I159" s="4"/>
      <c r="J159" s="4"/>
      <c r="K159" s="4"/>
      <c r="L159" s="4"/>
      <c r="M159" s="4"/>
    </row>
    <row r="160" spans="1:13">
      <c r="A160" s="4">
        <f>'Системы'!A160</f>
        <v>0</v>
      </c>
      <c r="B160" s="5"/>
      <c r="C160" s="6">
        <f>'Системы'!D160</f>
        <v>0</v>
      </c>
      <c r="D160" s="6">
        <f>'Системы'!L160</f>
        <v>0</v>
      </c>
      <c r="E160" s="4"/>
      <c r="F160" s="4"/>
      <c r="G160" s="4"/>
      <c r="H160" s="4"/>
      <c r="I160" s="4"/>
      <c r="J160" s="4"/>
      <c r="K160" s="4"/>
      <c r="L160" s="4"/>
      <c r="M160" s="4"/>
    </row>
    <row r="161" spans="1:13">
      <c r="A161" s="4">
        <f>'Системы'!A161</f>
        <v>0</v>
      </c>
      <c r="B161" s="5"/>
      <c r="C161" s="6">
        <f>'Системы'!D161</f>
        <v>0</v>
      </c>
      <c r="D161" s="6">
        <f>'Системы'!L161</f>
        <v>0</v>
      </c>
      <c r="E161" s="4"/>
      <c r="F161" s="4"/>
      <c r="G161" s="4"/>
      <c r="H161" s="4"/>
      <c r="I161" s="4"/>
      <c r="J161" s="4"/>
      <c r="K161" s="4"/>
      <c r="L161" s="4"/>
      <c r="M161" s="4"/>
    </row>
    <row r="162" spans="1:13">
      <c r="A162" s="4">
        <f>'Системы'!A162</f>
        <v>0</v>
      </c>
      <c r="B162" s="5"/>
      <c r="C162" s="6">
        <f>'Системы'!D162</f>
        <v>0</v>
      </c>
      <c r="D162" s="6">
        <f>'Системы'!L162</f>
        <v>0</v>
      </c>
      <c r="E162" s="4"/>
      <c r="F162" s="4"/>
      <c r="G162" s="4"/>
      <c r="H162" s="4"/>
      <c r="I162" s="4"/>
      <c r="J162" s="4"/>
      <c r="K162" s="4"/>
      <c r="L162" s="4"/>
      <c r="M162" s="4"/>
    </row>
    <row r="163" spans="1:13">
      <c r="A163" s="4">
        <f>'Системы'!A163</f>
        <v>0</v>
      </c>
      <c r="B163" s="5"/>
      <c r="C163" s="6">
        <f>'Системы'!D163</f>
        <v>0</v>
      </c>
      <c r="D163" s="6">
        <f>'Системы'!L163</f>
        <v>0</v>
      </c>
      <c r="E163" s="4"/>
      <c r="F163" s="4"/>
      <c r="G163" s="4"/>
      <c r="H163" s="4"/>
      <c r="I163" s="4"/>
      <c r="J163" s="4"/>
      <c r="K163" s="4"/>
      <c r="L163" s="4"/>
      <c r="M163" s="4"/>
    </row>
    <row r="164" spans="1:13">
      <c r="A164" s="4">
        <f>'Системы'!A164</f>
        <v>0</v>
      </c>
      <c r="B164" s="5"/>
      <c r="C164" s="6">
        <f>'Системы'!D164</f>
        <v>0</v>
      </c>
      <c r="D164" s="6">
        <f>'Системы'!L164</f>
        <v>0</v>
      </c>
      <c r="E164" s="4"/>
      <c r="F164" s="4"/>
      <c r="G164" s="4"/>
      <c r="H164" s="4"/>
      <c r="I164" s="4"/>
      <c r="J164" s="4"/>
      <c r="K164" s="4"/>
      <c r="L164" s="4"/>
      <c r="M164" s="4"/>
    </row>
    <row r="165" spans="1:13">
      <c r="A165" s="4">
        <f>'Системы'!A165</f>
        <v>0</v>
      </c>
      <c r="B165" s="5"/>
      <c r="C165" s="6">
        <f>'Системы'!D165</f>
        <v>0</v>
      </c>
      <c r="D165" s="6">
        <f>'Системы'!L165</f>
        <v>0</v>
      </c>
      <c r="E165" s="4"/>
      <c r="F165" s="4"/>
      <c r="G165" s="4"/>
      <c r="H165" s="4"/>
      <c r="I165" s="4"/>
      <c r="J165" s="4"/>
      <c r="K165" s="4"/>
      <c r="L165" s="4"/>
      <c r="M165" s="4"/>
    </row>
    <row r="166" spans="1:13">
      <c r="A166" s="4">
        <f>'Системы'!A166</f>
        <v>0</v>
      </c>
      <c r="B166" s="5"/>
      <c r="C166" s="6">
        <f>'Системы'!D166</f>
        <v>0</v>
      </c>
      <c r="D166" s="6">
        <f>'Системы'!L166</f>
        <v>0</v>
      </c>
      <c r="E166" s="4"/>
      <c r="F166" s="4"/>
      <c r="G166" s="4"/>
      <c r="H166" s="4"/>
      <c r="I166" s="4"/>
      <c r="J166" s="4"/>
      <c r="K166" s="4"/>
      <c r="L166" s="4"/>
      <c r="M166" s="4"/>
    </row>
    <row r="167" spans="1:13">
      <c r="A167" s="4">
        <f>'Системы'!A167</f>
        <v>0</v>
      </c>
      <c r="B167" s="5"/>
      <c r="C167" s="6">
        <f>'Системы'!D167</f>
        <v>0</v>
      </c>
      <c r="D167" s="6">
        <f>'Системы'!L167</f>
        <v>0</v>
      </c>
      <c r="E167" s="4"/>
      <c r="F167" s="4"/>
      <c r="G167" s="4"/>
      <c r="H167" s="4"/>
      <c r="I167" s="4"/>
      <c r="J167" s="4"/>
      <c r="K167" s="4"/>
      <c r="L167" s="4"/>
      <c r="M167" s="4"/>
    </row>
    <row r="168" spans="1:13">
      <c r="A168" s="4">
        <f>'Системы'!A168</f>
        <v>0</v>
      </c>
      <c r="B168" s="5"/>
      <c r="C168" s="6">
        <f>'Системы'!D168</f>
        <v>0</v>
      </c>
      <c r="D168" s="6">
        <f>'Системы'!L168</f>
        <v>0</v>
      </c>
      <c r="E168" s="4"/>
      <c r="F168" s="4"/>
      <c r="G168" s="4"/>
      <c r="H168" s="4"/>
      <c r="I168" s="4"/>
      <c r="J168" s="4"/>
      <c r="K168" s="4"/>
      <c r="L168" s="4"/>
      <c r="M168" s="4"/>
    </row>
    <row r="169" spans="1:13">
      <c r="A169" s="4">
        <f>'Системы'!A169</f>
        <v>0</v>
      </c>
      <c r="B169" s="5"/>
      <c r="C169" s="6">
        <f>'Системы'!D169</f>
        <v>0</v>
      </c>
      <c r="D169" s="6">
        <f>'Системы'!L169</f>
        <v>0</v>
      </c>
      <c r="E169" s="4"/>
      <c r="F169" s="4"/>
      <c r="G169" s="4"/>
      <c r="H169" s="4"/>
      <c r="I169" s="4"/>
      <c r="J169" s="4"/>
      <c r="K169" s="4"/>
      <c r="L169" s="4"/>
      <c r="M169" s="4"/>
    </row>
    <row r="170" spans="1:13">
      <c r="A170" s="4">
        <f>'Системы'!A170</f>
        <v>0</v>
      </c>
      <c r="B170" s="5"/>
      <c r="C170" s="6">
        <f>'Системы'!D170</f>
        <v>0</v>
      </c>
      <c r="D170" s="6">
        <f>'Системы'!L170</f>
        <v>0</v>
      </c>
      <c r="E170" s="4"/>
      <c r="F170" s="4"/>
      <c r="G170" s="4"/>
      <c r="H170" s="4"/>
      <c r="I170" s="4"/>
      <c r="J170" s="4"/>
      <c r="K170" s="4"/>
      <c r="L170" s="4"/>
      <c r="M170" s="4"/>
    </row>
    <row r="171" spans="1:13">
      <c r="A171" s="4">
        <f>'Системы'!A171</f>
        <v>0</v>
      </c>
      <c r="B171" s="5"/>
      <c r="C171" s="6">
        <f>'Системы'!D171</f>
        <v>0</v>
      </c>
      <c r="D171" s="6">
        <f>'Системы'!L171</f>
        <v>0</v>
      </c>
      <c r="E171" s="4"/>
      <c r="F171" s="4"/>
      <c r="G171" s="4"/>
      <c r="H171" s="4"/>
      <c r="I171" s="4"/>
      <c r="J171" s="4"/>
      <c r="K171" s="4"/>
      <c r="L171" s="4"/>
      <c r="M171" s="4"/>
    </row>
    <row r="172" spans="1:13">
      <c r="A172" s="4">
        <f>'Системы'!A172</f>
        <v>0</v>
      </c>
      <c r="B172" s="5"/>
      <c r="C172" s="6">
        <f>'Системы'!D172</f>
        <v>0</v>
      </c>
      <c r="D172" s="6">
        <f>'Системы'!L172</f>
        <v>0</v>
      </c>
      <c r="E172" s="4"/>
      <c r="F172" s="4"/>
      <c r="G172" s="4"/>
      <c r="H172" s="4"/>
      <c r="I172" s="4"/>
      <c r="J172" s="4"/>
      <c r="K172" s="4"/>
      <c r="L172" s="4"/>
      <c r="M172" s="4"/>
    </row>
    <row r="173" spans="1:13">
      <c r="A173" s="4">
        <f>'Системы'!A173</f>
        <v>0</v>
      </c>
      <c r="B173" s="5"/>
      <c r="C173" s="6">
        <f>'Системы'!D173</f>
        <v>0</v>
      </c>
      <c r="D173" s="6">
        <f>'Системы'!L173</f>
        <v>0</v>
      </c>
      <c r="E173" s="4"/>
      <c r="F173" s="4"/>
      <c r="G173" s="4"/>
      <c r="H173" s="4"/>
      <c r="I173" s="4"/>
      <c r="J173" s="4"/>
      <c r="K173" s="4"/>
      <c r="L173" s="4"/>
      <c r="M173" s="4"/>
    </row>
    <row r="174" spans="1:13">
      <c r="A174" s="4">
        <f>'Системы'!A174</f>
        <v>0</v>
      </c>
      <c r="B174" s="5"/>
      <c r="C174" s="6">
        <f>'Системы'!D174</f>
        <v>0</v>
      </c>
      <c r="D174" s="6">
        <f>'Системы'!L174</f>
        <v>0</v>
      </c>
      <c r="E174" s="4"/>
      <c r="F174" s="4"/>
      <c r="G174" s="4"/>
      <c r="H174" s="4"/>
      <c r="I174" s="4"/>
      <c r="J174" s="4"/>
      <c r="K174" s="4"/>
      <c r="L174" s="4"/>
      <c r="M174" s="4"/>
    </row>
    <row r="175" spans="1:13">
      <c r="A175" s="4">
        <f>'Системы'!A175</f>
        <v>0</v>
      </c>
      <c r="B175" s="5"/>
      <c r="C175" s="6">
        <f>'Системы'!D175</f>
        <v>0</v>
      </c>
      <c r="D175" s="6">
        <f>'Системы'!L175</f>
        <v>0</v>
      </c>
      <c r="E175" s="4"/>
      <c r="F175" s="4"/>
      <c r="G175" s="4"/>
      <c r="H175" s="4"/>
      <c r="I175" s="4"/>
      <c r="J175" s="4"/>
      <c r="K175" s="4"/>
      <c r="L175" s="4"/>
      <c r="M175" s="4"/>
    </row>
    <row r="176" spans="1:13">
      <c r="A176" s="4">
        <f>'Системы'!A176</f>
        <v>0</v>
      </c>
      <c r="B176" s="5"/>
      <c r="C176" s="6">
        <f>'Системы'!D176</f>
        <v>0</v>
      </c>
      <c r="D176" s="6">
        <f>'Системы'!L176</f>
        <v>0</v>
      </c>
      <c r="E176" s="4"/>
      <c r="F176" s="4"/>
      <c r="G176" s="4"/>
      <c r="H176" s="4"/>
      <c r="I176" s="4"/>
      <c r="J176" s="4"/>
      <c r="K176" s="4"/>
      <c r="L176" s="4"/>
      <c r="M176" s="4"/>
    </row>
    <row r="177" spans="1:13">
      <c r="A177" s="4">
        <f>'Системы'!A177</f>
        <v>0</v>
      </c>
      <c r="B177" s="5"/>
      <c r="C177" s="6">
        <f>'Системы'!D177</f>
        <v>0</v>
      </c>
      <c r="D177" s="6">
        <f>'Системы'!L177</f>
        <v>0</v>
      </c>
      <c r="E177" s="4"/>
      <c r="F177" s="4"/>
      <c r="G177" s="4"/>
      <c r="H177" s="4"/>
      <c r="I177" s="4"/>
      <c r="J177" s="4"/>
      <c r="K177" s="4"/>
      <c r="L177" s="4"/>
      <c r="M177" s="4"/>
    </row>
    <row r="178" spans="1:13">
      <c r="A178" s="4">
        <f>'Системы'!A178</f>
        <v>0</v>
      </c>
      <c r="B178" s="5"/>
      <c r="C178" s="6">
        <f>'Системы'!D178</f>
        <v>0</v>
      </c>
      <c r="D178" s="6">
        <f>'Системы'!L178</f>
        <v>0</v>
      </c>
      <c r="E178" s="4"/>
      <c r="F178" s="4"/>
      <c r="G178" s="4"/>
      <c r="H178" s="4"/>
      <c r="I178" s="4"/>
      <c r="J178" s="4"/>
      <c r="K178" s="4"/>
      <c r="L178" s="4"/>
      <c r="M178" s="4"/>
    </row>
    <row r="179" spans="1:13">
      <c r="A179" s="4">
        <f>'Системы'!A179</f>
        <v>0</v>
      </c>
      <c r="B179" s="5"/>
      <c r="C179" s="6">
        <f>'Системы'!D179</f>
        <v>0</v>
      </c>
      <c r="D179" s="6">
        <f>'Системы'!L179</f>
        <v>0</v>
      </c>
      <c r="E179" s="4"/>
      <c r="F179" s="4"/>
      <c r="G179" s="4"/>
      <c r="H179" s="4"/>
      <c r="I179" s="4"/>
      <c r="J179" s="4"/>
      <c r="K179" s="4"/>
      <c r="L179" s="4"/>
      <c r="M179" s="4"/>
    </row>
    <row r="180" spans="1:13">
      <c r="A180" s="4">
        <f>'Системы'!A180</f>
        <v>0</v>
      </c>
      <c r="B180" s="5"/>
      <c r="C180" s="6">
        <f>'Системы'!D180</f>
        <v>0</v>
      </c>
      <c r="D180" s="6">
        <f>'Системы'!L180</f>
        <v>0</v>
      </c>
      <c r="E180" s="4"/>
      <c r="F180" s="4"/>
      <c r="G180" s="4"/>
      <c r="H180" s="4"/>
      <c r="I180" s="4"/>
      <c r="J180" s="4"/>
      <c r="K180" s="4"/>
      <c r="L180" s="4"/>
      <c r="M180" s="4"/>
    </row>
    <row r="181" spans="1:13">
      <c r="A181" s="4">
        <f>'Системы'!A181</f>
        <v>0</v>
      </c>
      <c r="B181" s="5"/>
      <c r="C181" s="6">
        <f>'Системы'!D181</f>
        <v>0</v>
      </c>
      <c r="D181" s="6">
        <f>'Системы'!L181</f>
        <v>0</v>
      </c>
      <c r="E181" s="4"/>
      <c r="F181" s="4"/>
      <c r="G181" s="4"/>
      <c r="H181" s="4"/>
      <c r="I181" s="4"/>
      <c r="J181" s="4"/>
      <c r="K181" s="4"/>
      <c r="L181" s="4"/>
      <c r="M181" s="4"/>
    </row>
    <row r="182" spans="1:13">
      <c r="A182" s="4">
        <f>'Системы'!A182</f>
        <v>0</v>
      </c>
      <c r="B182" s="5"/>
      <c r="C182" s="6">
        <f>'Системы'!D182</f>
        <v>0</v>
      </c>
      <c r="D182" s="6">
        <f>'Системы'!L182</f>
        <v>0</v>
      </c>
      <c r="E182" s="4"/>
      <c r="F182" s="4"/>
      <c r="G182" s="4"/>
      <c r="H182" s="4"/>
      <c r="I182" s="4"/>
      <c r="J182" s="4"/>
      <c r="K182" s="4"/>
      <c r="L182" s="4"/>
      <c r="M182" s="4"/>
    </row>
    <row r="183" spans="1:13">
      <c r="A183" s="4">
        <f>'Системы'!A183</f>
        <v>0</v>
      </c>
      <c r="B183" s="5"/>
      <c r="C183" s="6">
        <f>'Системы'!D183</f>
        <v>0</v>
      </c>
      <c r="D183" s="6">
        <f>'Системы'!L183</f>
        <v>0</v>
      </c>
      <c r="E183" s="4"/>
      <c r="F183" s="4"/>
      <c r="G183" s="4"/>
      <c r="H183" s="4"/>
      <c r="I183" s="4"/>
      <c r="J183" s="4"/>
      <c r="K183" s="4"/>
      <c r="L183" s="4"/>
      <c r="M183" s="4"/>
    </row>
    <row r="184" spans="1:13">
      <c r="A184" s="4">
        <f>'Системы'!A184</f>
        <v>0</v>
      </c>
      <c r="B184" s="5"/>
      <c r="C184" s="6">
        <f>'Системы'!D184</f>
        <v>0</v>
      </c>
      <c r="D184" s="6">
        <f>'Системы'!L184</f>
        <v>0</v>
      </c>
      <c r="E184" s="4"/>
      <c r="F184" s="4"/>
      <c r="G184" s="4"/>
      <c r="H184" s="4"/>
      <c r="I184" s="4"/>
      <c r="J184" s="4"/>
      <c r="K184" s="4"/>
      <c r="L184" s="4"/>
      <c r="M184" s="4"/>
    </row>
    <row r="185" spans="1:13">
      <c r="A185" s="4">
        <f>'Системы'!A185</f>
        <v>0</v>
      </c>
      <c r="B185" s="5"/>
      <c r="C185" s="6">
        <f>'Системы'!D185</f>
        <v>0</v>
      </c>
      <c r="D185" s="6">
        <f>'Системы'!L185</f>
        <v>0</v>
      </c>
      <c r="E185" s="4"/>
      <c r="F185" s="4"/>
      <c r="G185" s="4"/>
      <c r="H185" s="4"/>
      <c r="I185" s="4"/>
      <c r="J185" s="4"/>
      <c r="K185" s="4"/>
      <c r="L185" s="4"/>
      <c r="M185" s="4"/>
    </row>
    <row r="186" spans="1:13">
      <c r="A186" s="4">
        <f>'Системы'!A186</f>
        <v>0</v>
      </c>
      <c r="B186" s="5"/>
      <c r="C186" s="6">
        <f>'Системы'!D186</f>
        <v>0</v>
      </c>
      <c r="D186" s="6">
        <f>'Системы'!L186</f>
        <v>0</v>
      </c>
      <c r="E186" s="4"/>
      <c r="F186" s="4"/>
      <c r="G186" s="4"/>
      <c r="H186" s="4"/>
      <c r="I186" s="4"/>
      <c r="J186" s="4"/>
      <c r="K186" s="4"/>
      <c r="L186" s="4"/>
      <c r="M186" s="4"/>
    </row>
    <row r="187" spans="1:13">
      <c r="A187" s="4">
        <f>'Системы'!A187</f>
        <v>0</v>
      </c>
      <c r="B187" s="5"/>
      <c r="C187" s="6">
        <f>'Системы'!D187</f>
        <v>0</v>
      </c>
      <c r="D187" s="6">
        <f>'Системы'!L187</f>
        <v>0</v>
      </c>
      <c r="E187" s="4"/>
      <c r="F187" s="4"/>
      <c r="G187" s="4"/>
      <c r="H187" s="4"/>
      <c r="I187" s="4"/>
      <c r="J187" s="4"/>
      <c r="K187" s="4"/>
      <c r="L187" s="4"/>
      <c r="M187" s="4"/>
    </row>
    <row r="188" spans="1:13">
      <c r="A188" s="4">
        <f>'Системы'!A188</f>
        <v>0</v>
      </c>
      <c r="B188" s="5"/>
      <c r="C188" s="6">
        <f>'Системы'!D188</f>
        <v>0</v>
      </c>
      <c r="D188" s="6">
        <f>'Системы'!L188</f>
        <v>0</v>
      </c>
      <c r="E188" s="4"/>
      <c r="F188" s="4"/>
      <c r="G188" s="4"/>
      <c r="H188" s="4"/>
      <c r="I188" s="4"/>
      <c r="J188" s="4"/>
      <c r="K188" s="4"/>
      <c r="L188" s="4"/>
      <c r="M188" s="4"/>
    </row>
    <row r="189" spans="1:13">
      <c r="A189" s="4">
        <f>'Системы'!A189</f>
        <v>0</v>
      </c>
      <c r="B189" s="5"/>
      <c r="C189" s="6">
        <f>'Системы'!D189</f>
        <v>0</v>
      </c>
      <c r="D189" s="6">
        <f>'Системы'!L189</f>
        <v>0</v>
      </c>
      <c r="E189" s="4"/>
      <c r="F189" s="4"/>
      <c r="G189" s="4"/>
      <c r="H189" s="4"/>
      <c r="I189" s="4"/>
      <c r="J189" s="4"/>
      <c r="K189" s="4"/>
      <c r="L189" s="4"/>
      <c r="M189" s="4"/>
    </row>
    <row r="190" spans="1:13">
      <c r="A190" s="4">
        <f>'Системы'!A190</f>
        <v>0</v>
      </c>
      <c r="B190" s="5"/>
      <c r="C190" s="6">
        <f>'Системы'!D190</f>
        <v>0</v>
      </c>
      <c r="D190" s="6">
        <f>'Системы'!L190</f>
        <v>0</v>
      </c>
      <c r="E190" s="4"/>
      <c r="F190" s="4"/>
      <c r="G190" s="4"/>
      <c r="H190" s="4"/>
      <c r="I190" s="4"/>
      <c r="J190" s="4"/>
      <c r="K190" s="4"/>
      <c r="L190" s="4"/>
      <c r="M190" s="4"/>
    </row>
    <row r="191" spans="1:13">
      <c r="A191" s="4">
        <f>'Системы'!A191</f>
        <v>0</v>
      </c>
      <c r="B191" s="5"/>
      <c r="C191" s="6">
        <f>'Системы'!D191</f>
        <v>0</v>
      </c>
      <c r="D191" s="6">
        <f>'Системы'!L191</f>
        <v>0</v>
      </c>
      <c r="E191" s="4"/>
      <c r="F191" s="4"/>
      <c r="G191" s="4"/>
      <c r="H191" s="4"/>
      <c r="I191" s="4"/>
      <c r="J191" s="4"/>
      <c r="K191" s="4"/>
      <c r="L191" s="4"/>
      <c r="M191" s="4"/>
    </row>
    <row r="192" spans="1:13">
      <c r="A192" s="4">
        <f>'Системы'!A192</f>
        <v>0</v>
      </c>
      <c r="B192" s="5"/>
      <c r="C192" s="6">
        <f>'Системы'!D192</f>
        <v>0</v>
      </c>
      <c r="D192" s="6">
        <f>'Системы'!L192</f>
        <v>0</v>
      </c>
      <c r="E192" s="4"/>
      <c r="F192" s="4"/>
      <c r="G192" s="4"/>
      <c r="H192" s="4"/>
      <c r="I192" s="4"/>
      <c r="J192" s="4"/>
      <c r="K192" s="4"/>
      <c r="L192" s="4"/>
      <c r="M192" s="4"/>
    </row>
    <row r="193" spans="1:13">
      <c r="A193" s="4">
        <f>'Системы'!A193</f>
        <v>0</v>
      </c>
      <c r="B193" s="5"/>
      <c r="C193" s="6">
        <f>'Системы'!D193</f>
        <v>0</v>
      </c>
      <c r="D193" s="6">
        <f>'Системы'!L193</f>
        <v>0</v>
      </c>
      <c r="E193" s="4"/>
      <c r="F193" s="4"/>
      <c r="G193" s="4"/>
      <c r="H193" s="4"/>
      <c r="I193" s="4"/>
      <c r="J193" s="4"/>
      <c r="K193" s="4"/>
      <c r="L193" s="4"/>
      <c r="M193" s="4"/>
    </row>
    <row r="194" spans="1:13">
      <c r="A194" s="4">
        <f>'Системы'!A194</f>
        <v>0</v>
      </c>
      <c r="B194" s="5"/>
      <c r="C194" s="6">
        <f>'Системы'!D194</f>
        <v>0</v>
      </c>
      <c r="D194" s="6">
        <f>'Системы'!L194</f>
        <v>0</v>
      </c>
      <c r="E194" s="4"/>
      <c r="F194" s="4"/>
      <c r="G194" s="4"/>
      <c r="H194" s="4"/>
      <c r="I194" s="4"/>
      <c r="J194" s="4"/>
      <c r="K194" s="4"/>
      <c r="L194" s="4"/>
      <c r="M194" s="4"/>
    </row>
    <row r="195" spans="1:13">
      <c r="A195" s="4">
        <f>'Системы'!A195</f>
        <v>0</v>
      </c>
      <c r="B195" s="5"/>
      <c r="C195" s="6">
        <f>'Системы'!D195</f>
        <v>0</v>
      </c>
      <c r="D195" s="6">
        <f>'Системы'!L195</f>
        <v>0</v>
      </c>
      <c r="E195" s="4"/>
      <c r="F195" s="4"/>
      <c r="G195" s="4"/>
      <c r="H195" s="4"/>
      <c r="I195" s="4"/>
      <c r="J195" s="4"/>
      <c r="K195" s="4"/>
      <c r="L195" s="4"/>
      <c r="M195" s="4"/>
    </row>
    <row r="196" spans="1:13">
      <c r="A196" s="4">
        <f>'Системы'!A196</f>
        <v>0</v>
      </c>
      <c r="B196" s="5"/>
      <c r="C196" s="6">
        <f>'Системы'!D196</f>
        <v>0</v>
      </c>
      <c r="D196" s="6">
        <f>'Системы'!L196</f>
        <v>0</v>
      </c>
      <c r="E196" s="4"/>
      <c r="F196" s="4"/>
      <c r="G196" s="4"/>
      <c r="H196" s="4"/>
      <c r="I196" s="4"/>
      <c r="J196" s="4"/>
      <c r="K196" s="4"/>
      <c r="L196" s="4"/>
      <c r="M196" s="4"/>
    </row>
    <row r="197" spans="1:13">
      <c r="A197" s="4">
        <f>'Системы'!A197</f>
        <v>0</v>
      </c>
      <c r="B197" s="5"/>
      <c r="C197" s="6">
        <f>'Системы'!D197</f>
        <v>0</v>
      </c>
      <c r="D197" s="6">
        <f>'Системы'!L197</f>
        <v>0</v>
      </c>
      <c r="E197" s="4"/>
      <c r="F197" s="4"/>
      <c r="G197" s="4"/>
      <c r="H197" s="4"/>
      <c r="I197" s="4"/>
      <c r="J197" s="4"/>
      <c r="K197" s="4"/>
      <c r="L197" s="4"/>
      <c r="M197" s="4"/>
    </row>
    <row r="198" spans="1:13">
      <c r="A198" s="4">
        <f>'Системы'!A198</f>
        <v>0</v>
      </c>
      <c r="B198" s="5"/>
      <c r="C198" s="6">
        <f>'Системы'!D198</f>
        <v>0</v>
      </c>
      <c r="D198" s="6">
        <f>'Системы'!L198</f>
        <v>0</v>
      </c>
      <c r="E198" s="4"/>
      <c r="F198" s="4"/>
      <c r="G198" s="4"/>
      <c r="H198" s="4"/>
      <c r="I198" s="4"/>
      <c r="J198" s="4"/>
      <c r="K198" s="4"/>
      <c r="L198" s="4"/>
      <c r="M198" s="4"/>
    </row>
    <row r="199" spans="1:13">
      <c r="A199" s="4">
        <f>'Системы'!A199</f>
        <v>0</v>
      </c>
      <c r="B199" s="5"/>
      <c r="C199" s="6">
        <f>'Системы'!D199</f>
        <v>0</v>
      </c>
      <c r="D199" s="6">
        <f>'Системы'!L199</f>
        <v>0</v>
      </c>
      <c r="E199" s="4"/>
      <c r="F199" s="4"/>
      <c r="G199" s="4"/>
      <c r="H199" s="4"/>
      <c r="I199" s="4"/>
      <c r="J199" s="4"/>
      <c r="K199" s="4"/>
      <c r="L199" s="4"/>
      <c r="M199" s="4"/>
    </row>
    <row r="200" spans="1:13">
      <c r="A200" s="4">
        <f>'Системы'!A200</f>
        <v>0</v>
      </c>
      <c r="B200" s="5"/>
      <c r="C200" s="6">
        <f>'Системы'!D200</f>
        <v>0</v>
      </c>
      <c r="D200" s="6">
        <f>'Системы'!L200</f>
        <v>0</v>
      </c>
      <c r="E200" s="4"/>
      <c r="F200" s="4"/>
      <c r="G200" s="4"/>
      <c r="H200" s="4"/>
      <c r="I200" s="4"/>
      <c r="J200" s="4"/>
      <c r="K200" s="4"/>
      <c r="L200" s="4"/>
      <c r="M200" s="4"/>
    </row>
    <row r="201" spans="1:13">
      <c r="A201" s="4">
        <f>'Системы'!A201</f>
        <v>0</v>
      </c>
      <c r="B201" s="5"/>
      <c r="C201" s="6">
        <f>'Системы'!D201</f>
        <v>0</v>
      </c>
      <c r="D201" s="6">
        <f>'Системы'!L201</f>
        <v>0</v>
      </c>
      <c r="E201" s="4"/>
      <c r="F201" s="4"/>
      <c r="G201" s="4"/>
      <c r="H201" s="4"/>
      <c r="I201" s="4"/>
      <c r="J201" s="4"/>
      <c r="K201" s="4"/>
      <c r="L201" s="4"/>
      <c r="M201" s="4"/>
    </row>
    <row r="202" spans="1:13">
      <c r="A202" s="4">
        <f>'Системы'!A202</f>
        <v>0</v>
      </c>
      <c r="B202" s="5"/>
      <c r="C202" s="6">
        <f>'Системы'!D202</f>
        <v>0</v>
      </c>
      <c r="D202" s="6">
        <f>'Системы'!L202</f>
        <v>0</v>
      </c>
      <c r="E202" s="4"/>
      <c r="F202" s="4"/>
      <c r="G202" s="4"/>
      <c r="H202" s="4"/>
      <c r="I202" s="4"/>
      <c r="J202" s="4"/>
      <c r="K202" s="4"/>
      <c r="L202" s="4"/>
      <c r="M202" s="4"/>
    </row>
  </sheetData>
  <dataValidations count="3">
    <dataValidation type="list" allowBlank="1" showInputMessage="1" showErrorMessage="1" sqref="E3:E202">
      <formula1>"Канальный,Каркасный,Крышный"</formula1>
    </dataValidation>
    <dataValidation type="list" allowBlank="1" showInputMessage="1" showErrorMessage="1" sqref="H3:H202">
      <formula1>"Водяной,Электрический,Не требуется"</formula1>
    </dataValidation>
    <dataValidation type="list" allowBlank="1" showInputMessage="1" showErrorMessage="1" sqref="L3:L202">
      <formula1>"Со стороны улицы,Со стороны помещения,Со стороны улицы и со стороны помещения,Не требуется"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Без этажа</vt:lpstr>
      <vt:lpstr>Системы</vt:lpstr>
      <vt:lpstr>Подборы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2026-06-16T04:59:36Z</dcterms:created>
  <dcterms:modified xsi:type="dcterms:W3CDTF">2026-06-16T04:59:36Z</dcterms:modified>
</cp:coreProperties>
</file>